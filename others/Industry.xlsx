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" sheetId="1" r:id="rId5"/>
    <sheet state="visible" name="Industry Acronyms" sheetId="2" r:id="rId6"/>
  </sheets>
  <definedNames/>
  <calcPr/>
</workbook>
</file>

<file path=xl/sharedStrings.xml><?xml version="1.0" encoding="utf-8"?>
<sst xmlns="http://schemas.openxmlformats.org/spreadsheetml/2006/main" count="438" uniqueCount="321">
  <si>
    <t>Timestamp</t>
  </si>
  <si>
    <t>Email</t>
  </si>
  <si>
    <t>Last Name</t>
  </si>
  <si>
    <t>First Name</t>
  </si>
  <si>
    <t xml:space="preserve">Industry </t>
  </si>
  <si>
    <t>Accommodation and Food Services</t>
  </si>
  <si>
    <t>Food and Beverage Services Group</t>
  </si>
  <si>
    <t>Cafes, Restaurants and Takeaway Food Services</t>
  </si>
  <si>
    <t>Administrative and Support Services</t>
  </si>
  <si>
    <t>Administrative Services Group</t>
  </si>
  <si>
    <t>Employment Services</t>
  </si>
  <si>
    <t>Other Administrative Services</t>
  </si>
  <si>
    <t>Building Cleaning, Pest Control and Other Support Services Group</t>
  </si>
  <si>
    <t>Building Cleaning, Pest Control and Gardening Services</t>
  </si>
  <si>
    <t>Agriculture, Forestry and Fishing</t>
  </si>
  <si>
    <t>Agriculture Group</t>
  </si>
  <si>
    <t>Fruit and Tree Nut Growing</t>
  </si>
  <si>
    <t>Mushroom and Vegetable Growing</t>
  </si>
  <si>
    <t>Nursery and Floriculture Production</t>
  </si>
  <si>
    <t xml:space="preserve">Poultry Farming </t>
  </si>
  <si>
    <t>Sheep, Beef Cattle and Grain Farming</t>
  </si>
  <si>
    <t>Other Crop Growing</t>
  </si>
  <si>
    <t xml:space="preserve">Other Livestock Farming </t>
  </si>
  <si>
    <t>Agriculture, Forestry and Fishing Support Services Group</t>
  </si>
  <si>
    <t>Agriculture and Fishing Support Services</t>
  </si>
  <si>
    <t>Aquaculture</t>
  </si>
  <si>
    <t>Fishing, Hunting and Trapping Group</t>
  </si>
  <si>
    <t>Fishing</t>
  </si>
  <si>
    <t>Forestry and Logging</t>
  </si>
  <si>
    <t xml:space="preserve">Arts and Recreation Services </t>
  </si>
  <si>
    <t>Creative and Performing Arts Activities</t>
  </si>
  <si>
    <t>Gambling Activities</t>
  </si>
  <si>
    <t>Heritage Activities</t>
  </si>
  <si>
    <t>Parks and Gardens Operations</t>
  </si>
  <si>
    <t>Sports and Recreation Activities</t>
  </si>
  <si>
    <t>Amusement and Other Recreation Activities</t>
  </si>
  <si>
    <t>Horse and Dog Racing Activities</t>
  </si>
  <si>
    <t>Sports and Physical Recreation Activities</t>
  </si>
  <si>
    <t>Construction</t>
  </si>
  <si>
    <t>Building Construction</t>
  </si>
  <si>
    <t>Residential Building Construction</t>
  </si>
  <si>
    <t>Construction Services</t>
  </si>
  <si>
    <t>Building Completion Services</t>
  </si>
  <si>
    <t>Building Installation Services</t>
  </si>
  <si>
    <t>Building Structure Services</t>
  </si>
  <si>
    <t xml:space="preserve">Land Development and Site Preparation Services </t>
  </si>
  <si>
    <t>Other Construction Services</t>
  </si>
  <si>
    <t>Heavy and Civil Engineering Construction</t>
  </si>
  <si>
    <t>Education and Training</t>
  </si>
  <si>
    <t>Adult, Community and Other Education</t>
  </si>
  <si>
    <t>Preschool and School Education</t>
  </si>
  <si>
    <t>School Education</t>
  </si>
  <si>
    <t>Tertiary Education</t>
  </si>
  <si>
    <t>Electricity Supply</t>
  </si>
  <si>
    <t>Electricity Distribution</t>
  </si>
  <si>
    <t>Electricity Generation</t>
  </si>
  <si>
    <t>Waste Collection, Treatment and Disposal Services</t>
  </si>
  <si>
    <t>Waste Collection Services</t>
  </si>
  <si>
    <t>Waste Treatment, Disposal and Remediation Services</t>
  </si>
  <si>
    <t>Water Supply, Sewerage and Drainage Services</t>
  </si>
  <si>
    <t>Financial and Insurance Services</t>
  </si>
  <si>
    <t>Auxiliary Finance and Insurance Services</t>
  </si>
  <si>
    <t>Auxiliary Finance and Investment Services</t>
  </si>
  <si>
    <t>Finance</t>
  </si>
  <si>
    <t>Depository Financial Intermediation</t>
  </si>
  <si>
    <t>Insurance and Superannuation Funds</t>
  </si>
  <si>
    <t>Health and General Insurance</t>
  </si>
  <si>
    <t>Health Care and Social Assistance</t>
  </si>
  <si>
    <t>Hospitals</t>
  </si>
  <si>
    <t>Medical and Other Health Care Services</t>
  </si>
  <si>
    <t xml:space="preserve">Allied Health Services </t>
  </si>
  <si>
    <t>Medical Services</t>
  </si>
  <si>
    <t>Other Health Care Services</t>
  </si>
  <si>
    <t>Residential Care Services</t>
  </si>
  <si>
    <t>Social Assistance Services</t>
  </si>
  <si>
    <t xml:space="preserve">Information Media and Telecommunications </t>
  </si>
  <si>
    <t>Broadcasting (except Internet)</t>
  </si>
  <si>
    <t>Television Broadcasting</t>
  </si>
  <si>
    <t>Internet Service Providers, Web Search Portals and Data Processing Services</t>
  </si>
  <si>
    <t>Data Processing, Web Hosting and Electronic Information Storage Services</t>
  </si>
  <si>
    <t>Library and Other Information Services</t>
  </si>
  <si>
    <t>Motion Picture and Sound Recording Activities</t>
  </si>
  <si>
    <t>Motion Picture and Video Activities</t>
  </si>
  <si>
    <t>Sound Recording and Music Publishing</t>
  </si>
  <si>
    <t>Publishing (except Internet and Music Publishing)</t>
  </si>
  <si>
    <t>Newspaper, Periodical, Book and Directory Publishing</t>
  </si>
  <si>
    <t>Manufacturing</t>
  </si>
  <si>
    <t>Basic Chemical and Chemical Product Manufacturing</t>
  </si>
  <si>
    <t>Basic Chemical Manufacturing</t>
  </si>
  <si>
    <t>Basic Polymer Manufacturing</t>
  </si>
  <si>
    <t>Cleaning Compound and Toiletry Preparation Manufacturing</t>
  </si>
  <si>
    <t>Fertiliser and Pesticide Manufacturing</t>
  </si>
  <si>
    <t>Pharmaceutical and Medicinal Product Manufacturing</t>
  </si>
  <si>
    <t>Other Basic Chemical Product Manufacturing</t>
  </si>
  <si>
    <t xml:space="preserve">Beverage and Tobacco Product Manufacturing		</t>
  </si>
  <si>
    <t>Beverage Manufacturing</t>
  </si>
  <si>
    <t>Fabricated Metal Product Manufacturing</t>
  </si>
  <si>
    <t>Metal Container Manufacturing</t>
  </si>
  <si>
    <t>Structural Metal Product Manufacturing</t>
  </si>
  <si>
    <t>Other Fabricated Metal Product Manufacturing</t>
  </si>
  <si>
    <t>Food Product Manufacturing</t>
  </si>
  <si>
    <t>Bakery Product Manufacturing</t>
  </si>
  <si>
    <t>Dairy Product Manufacturing</t>
  </si>
  <si>
    <t>Grain Mill and Cereal Product Manufacturing</t>
  </si>
  <si>
    <t>Meat and Meat Product Manufacturing</t>
  </si>
  <si>
    <t>Sugar and Confectionery Manufacturing</t>
  </si>
  <si>
    <t>Other Food Product Manufacturing</t>
  </si>
  <si>
    <t>Furniture and Other Manufacturing</t>
  </si>
  <si>
    <t>Furniture Manufacturing</t>
  </si>
  <si>
    <t>Other Manufacturing</t>
  </si>
  <si>
    <t>Machinery and Equipment Manufacturing</t>
  </si>
  <si>
    <t>Computer and Electronic Equipment Manufacturing</t>
  </si>
  <si>
    <t>Domestic Appliance Manufacturing</t>
  </si>
  <si>
    <t>Electrical Equipment Manufacturing</t>
  </si>
  <si>
    <t>Professional and Scientific Equipment Manufacturing</t>
  </si>
  <si>
    <t>Pump, Compressor, Heating and Ventilation Equipment Manufacturing</t>
  </si>
  <si>
    <t>Specialised Machinery and Equipment Manufacturing</t>
  </si>
  <si>
    <t>Other Machinery and Equipment Manufacturing</t>
  </si>
  <si>
    <t>Non-Metallic Mineral Product Manufacturing</t>
  </si>
  <si>
    <t>Cement, Lime, Plaster and Concrete Product Manufacturing</t>
  </si>
  <si>
    <t>Ceramic Product Manufacturing</t>
  </si>
  <si>
    <t>Petroleum and Coal Product Manufacturing</t>
  </si>
  <si>
    <t>Polymer Product and Rubber Product Manufacturing</t>
  </si>
  <si>
    <t>Polymer Product Manufacturing</t>
  </si>
  <si>
    <t>Primary Metal and Metal Product Manufacturing</t>
  </si>
  <si>
    <t>Basic Ferrous Metal Manufacturing</t>
  </si>
  <si>
    <t>Basic Ferrous Metal Product Manufacturing</t>
  </si>
  <si>
    <t>Basic Non-Ferrous Metal Manufacturing</t>
  </si>
  <si>
    <t xml:space="preserve">Basic Non-Ferrous Metal Product Manufacturing </t>
  </si>
  <si>
    <t>Printing (including the Reproduction of Recorded Media)</t>
  </si>
  <si>
    <t>Printing and Printing Support Services</t>
  </si>
  <si>
    <t>Pulp, Paper and Converted Paper Product Manufacturing</t>
  </si>
  <si>
    <t>Converted Paper Product Manufacturing</t>
  </si>
  <si>
    <t>Textile, Leather, Clothing and Footwear Manufacturing</t>
  </si>
  <si>
    <t>Clothing and Footwear Manufacturing</t>
  </si>
  <si>
    <t xml:space="preserve">Textile Manufacturing </t>
  </si>
  <si>
    <t xml:space="preserve">Textile Product Manufacturing </t>
  </si>
  <si>
    <t>Transport Equipment Manufacturing</t>
  </si>
  <si>
    <t xml:space="preserve">Motor Vehicle and Motor Vehicle Part Manufacturing </t>
  </si>
  <si>
    <t>Other Transport Equipment Manufacturing</t>
  </si>
  <si>
    <t>Wood Product Manufacturing</t>
  </si>
  <si>
    <t>Log Sawmilling and Timber Dressing</t>
  </si>
  <si>
    <t>Other Wood Product Manufacturing</t>
  </si>
  <si>
    <t>Mining</t>
  </si>
  <si>
    <t>Exploration and Other Mining Support Services</t>
  </si>
  <si>
    <t>Exploration</t>
  </si>
  <si>
    <t>Metal Ore Mining</t>
  </si>
  <si>
    <t>Non-Metallic Mineral Mining and Quarrying</t>
  </si>
  <si>
    <t>Construction Material Mining</t>
  </si>
  <si>
    <t>Professional, Scientific and Technical Services</t>
  </si>
  <si>
    <t xml:space="preserve">Professional, Scientific and Technical Services (Except Computer System Design and Related Services) </t>
  </si>
  <si>
    <t>Architectural, Engineering and Technical Services</t>
  </si>
  <si>
    <t xml:space="preserve">Legal and Accounting Services </t>
  </si>
  <si>
    <t xml:space="preserve">Management and Related Consulting Services </t>
  </si>
  <si>
    <t>Other Professional, Scientific and Technical Services</t>
  </si>
  <si>
    <t>Public Administration and Safety</t>
  </si>
  <si>
    <t>Public Administration</t>
  </si>
  <si>
    <t>Government Representation</t>
  </si>
  <si>
    <t>Public Order, Safety and Regulatory Services</t>
  </si>
  <si>
    <t>Public Order and Safety Services</t>
  </si>
  <si>
    <t>Rental Hiring and Real Estate Services</t>
  </si>
  <si>
    <t>Property Operators and Real Estate Services</t>
  </si>
  <si>
    <t>Property Operators</t>
  </si>
  <si>
    <t>Rental and Hiring Services (except Real Estate)</t>
  </si>
  <si>
    <t xml:space="preserve">Motor Vehicle and Transport Equipment Rental and Hiring </t>
  </si>
  <si>
    <t>Other Goods and Equipment Rental and Hiring</t>
  </si>
  <si>
    <t>Retail Trade</t>
  </si>
  <si>
    <t>Food Retailing</t>
  </si>
  <si>
    <t>Specialised Food Retailing</t>
  </si>
  <si>
    <t>Motor Vehicle and Motor Vehicle Parts Retailing</t>
  </si>
  <si>
    <t>Motor Vehicle Parts and Tyre Retailing</t>
  </si>
  <si>
    <t>Motor Vehicle Retailing</t>
  </si>
  <si>
    <t>Non-Store Retailing and Retail Commission Based Buying and/or Selling</t>
  </si>
  <si>
    <t>Other Store-Based Retailing</t>
  </si>
  <si>
    <t>Clothing, Footwear and Personal Accessory Retailing</t>
  </si>
  <si>
    <t>Electrical and Electronic Goods Retailing</t>
  </si>
  <si>
    <t>Furniture, Floor Coverings, Houseware and Textile Goods Retailing</t>
  </si>
  <si>
    <t>Hardware, Building and Garden Supplies Retailing</t>
  </si>
  <si>
    <t>Pharmaceutical and Other Store-Based Retailing</t>
  </si>
  <si>
    <t>Recreational Goods Retailing</t>
  </si>
  <si>
    <t>Transport, Postal and Warehousing</t>
  </si>
  <si>
    <t>Postal and Courier Pick-up and Delivery Services</t>
  </si>
  <si>
    <t>Rail Transport</t>
  </si>
  <si>
    <t>Road Transport</t>
  </si>
  <si>
    <t xml:space="preserve">Road Passenger Transport </t>
  </si>
  <si>
    <t>Transport Support Services</t>
  </si>
  <si>
    <t>Other Transport Support Services</t>
  </si>
  <si>
    <t>Water Transport Support Services</t>
  </si>
  <si>
    <t>Warehousing and Storage Services</t>
  </si>
  <si>
    <t>Water Transport</t>
  </si>
  <si>
    <t>Other Transport</t>
  </si>
  <si>
    <t>Pipeline and Other Transport</t>
  </si>
  <si>
    <t>Wholesale Trade</t>
  </si>
  <si>
    <t>Basic Material Wholesaling</t>
  </si>
  <si>
    <t>Agricultural Product Wholesaling</t>
  </si>
  <si>
    <t>Mineral, Metal and Chemical Wholesaling</t>
  </si>
  <si>
    <t>Timber and Hardware Goods Wholesaling</t>
  </si>
  <si>
    <t>Grocery, Liquor and Tobacco Product Wholesaling</t>
  </si>
  <si>
    <t>Machinery and Equipment Wholesaling</t>
  </si>
  <si>
    <t>Specialised Industrial Machinery and Equipment Wholesaling</t>
  </si>
  <si>
    <t>Other Machinery and Equipment Wholesaling</t>
  </si>
  <si>
    <t>Motor Vehicle and Motor Vehicle Parts Wholesaling</t>
  </si>
  <si>
    <t>Other Goods Wholesaling</t>
  </si>
  <si>
    <t>Furniture, Floor Covering and Other Goods Wholesaling</t>
  </si>
  <si>
    <t>Textile, Clothing and Footwear Wholesaling</t>
  </si>
  <si>
    <t>Other Services</t>
  </si>
  <si>
    <t>Personal and Other Services</t>
  </si>
  <si>
    <t>Civic Professional and Other Interest Group Services</t>
  </si>
  <si>
    <t xml:space="preserve">Personal Care Services </t>
  </si>
  <si>
    <t>Other Personal Services</t>
  </si>
  <si>
    <t>Private Households Employing Staff and Undifferentiated Goods- and Service-Producing Activities of Households for Own Use</t>
  </si>
  <si>
    <t>Repair and Maintenance</t>
  </si>
  <si>
    <t>Automotive Repair and Maintenance</t>
  </si>
  <si>
    <t>Machinery and Equipment Repair and Maintenance</t>
  </si>
  <si>
    <t>Other Repair and Maintenance</t>
  </si>
  <si>
    <t xml:space="preserve">Accommodation </t>
  </si>
  <si>
    <t>Contact persons email:</t>
  </si>
  <si>
    <t>Accommodation</t>
  </si>
  <si>
    <t>Clubs (Hospitality)</t>
  </si>
  <si>
    <t>Pubs, Taverns and Bars</t>
  </si>
  <si>
    <t>Travel Agency and Tour Arrangement Services</t>
  </si>
  <si>
    <t>Packaging Services</t>
  </si>
  <si>
    <t>Dairy Cattle Farming</t>
  </si>
  <si>
    <t>Deer Farming</t>
  </si>
  <si>
    <t>Poultry Farming</t>
  </si>
  <si>
    <t>Other Livestock Farming</t>
  </si>
  <si>
    <t>Forestry Support Services</t>
  </si>
  <si>
    <t>Hunting and Trapping</t>
  </si>
  <si>
    <t>Museum Operation</t>
  </si>
  <si>
    <t>Non-Residential Building Construction</t>
  </si>
  <si>
    <t>Land Development and Site Preparation Services</t>
  </si>
  <si>
    <t>Road and Bridge Construction</t>
  </si>
  <si>
    <t>Other Heavy and Civil Engineering Construction</t>
  </si>
  <si>
    <t>Educational Support Services</t>
  </si>
  <si>
    <t>Preschool Education</t>
  </si>
  <si>
    <t>Higher Education</t>
  </si>
  <si>
    <t>Technical and Vocational Education and Training</t>
  </si>
  <si>
    <t>Electricity Transmission</t>
  </si>
  <si>
    <t>On Selling Electricity and Electricity Market Operation</t>
  </si>
  <si>
    <t>Gas Supply</t>
  </si>
  <si>
    <t>Sewerage and Drainage Services</t>
  </si>
  <si>
    <t>Water Supply</t>
  </si>
  <si>
    <t>Auxiliary Insurance Services</t>
  </si>
  <si>
    <t>Central Banking</t>
  </si>
  <si>
    <t>Financial Asset Investing</t>
  </si>
  <si>
    <t>Non-Depository Financing</t>
  </si>
  <si>
    <t>Life Insurance</t>
  </si>
  <si>
    <t>Superannuation Funds</t>
  </si>
  <si>
    <t>Pathology and Diagnostic Imaging Services</t>
  </si>
  <si>
    <t>Allied Health Services</t>
  </si>
  <si>
    <t>Aged Care Residential Services</t>
  </si>
  <si>
    <t>Other Residential Care Services</t>
  </si>
  <si>
    <t>Child Care Services</t>
  </si>
  <si>
    <t>Other Social Assistance Services</t>
  </si>
  <si>
    <t>Radio Broadcasting</t>
  </si>
  <si>
    <t>Internet Publishing and Broadcasting</t>
  </si>
  <si>
    <t>Internet Service Providers and Web Search Portals</t>
  </si>
  <si>
    <t>Libraries and Archives</t>
  </si>
  <si>
    <t>Other Information Services</t>
  </si>
  <si>
    <t>Software Publishing</t>
  </si>
  <si>
    <t>Telecommunications Services</t>
  </si>
  <si>
    <t>Cigarette and Tobacco Product Manufacturing</t>
  </si>
  <si>
    <t>Iron and Steel Forging</t>
  </si>
  <si>
    <t>Sheet Metal Product Manufacturing (except Metal Structural and Container Products)</t>
  </si>
  <si>
    <t>Fruit and Vegetable Processing</t>
  </si>
  <si>
    <t>Oil and Fat Manufacturing</t>
  </si>
  <si>
    <t>Seafood Processing</t>
  </si>
  <si>
    <t>Glass and Glass Product Manufacturing</t>
  </si>
  <si>
    <t>Other Non-Metallic Mineral Product Manufacturing</t>
  </si>
  <si>
    <t>Petroleum Refining and Petroleum Fuel Manufacturing</t>
  </si>
  <si>
    <t>Other Petroleum and Coal Product Manufacturing</t>
  </si>
  <si>
    <t>Natural Rubber Product Manufacturing</t>
  </si>
  <si>
    <t>Basic Non-Ferrous Metal Product Manufacturing</t>
  </si>
  <si>
    <t>Reproduction of Recorded Media</t>
  </si>
  <si>
    <t>Pulp, Paper and Paperboard Manufacturing</t>
  </si>
  <si>
    <t>Knitted Product Manufacturing</t>
  </si>
  <si>
    <t>Leather Tanning, Fur Dressing and Leather Product Manufacturing</t>
  </si>
  <si>
    <t>Textile Manufacturing</t>
  </si>
  <si>
    <t>Textile Product Manufacturing</t>
  </si>
  <si>
    <t>Motor Vehicle and Motor Vehicle Part Manufacturing</t>
  </si>
  <si>
    <t>Coal Mining</t>
  </si>
  <si>
    <t>Other Mining Support Services</t>
  </si>
  <si>
    <t>Oil and Gas Extraction</t>
  </si>
  <si>
    <t>Other Non-Metallic Mineral Mining and Quarrying</t>
  </si>
  <si>
    <t>Computer System Design and Related Services</t>
  </si>
  <si>
    <t>Advertising Services</t>
  </si>
  <si>
    <t>Legal and Accounting Services</t>
  </si>
  <si>
    <t>Management and Related Consulting Services</t>
  </si>
  <si>
    <t>Market Research and Statistical Services</t>
  </si>
  <si>
    <t>Scientific Research Services</t>
  </si>
  <si>
    <t>Veterinary Services</t>
  </si>
  <si>
    <t>Central Government Administration</t>
  </si>
  <si>
    <t>State Government Administration</t>
  </si>
  <si>
    <t>Local Government Administration</t>
  </si>
  <si>
    <t>Justice</t>
  </si>
  <si>
    <t>Defence</t>
  </si>
  <si>
    <t>Regulatory Services</t>
  </si>
  <si>
    <t>Real Estate Services</t>
  </si>
  <si>
    <t>Farm Animal and Bloodstock Leasing</t>
  </si>
  <si>
    <t>Motor Vehicle and Transport Equipment Rental and Hiring</t>
  </si>
  <si>
    <t>Non-Financial Intangible Assets (Except Copyrights) Leasing</t>
  </si>
  <si>
    <t>Supermarket and Grocery Stores</t>
  </si>
  <si>
    <t>Fuel Retailing</t>
  </si>
  <si>
    <t>Non-Store Retailing</t>
  </si>
  <si>
    <t>Retail Commission-Based Buying and/or Selling</t>
  </si>
  <si>
    <t>Department Stores</t>
  </si>
  <si>
    <t>Air and Space Transport</t>
  </si>
  <si>
    <t>Rail Freight Transport</t>
  </si>
  <si>
    <t>Rail Passenger Transport</t>
  </si>
  <si>
    <t>Road Freight Transport</t>
  </si>
  <si>
    <t>Road Passenger Transport</t>
  </si>
  <si>
    <t>Airport Operations and Other Air Transport Support Services</t>
  </si>
  <si>
    <t>Water Freight Transport</t>
  </si>
  <si>
    <t>Water Passenger Transport</t>
  </si>
  <si>
    <t>Scenic and Sightseeing Transport</t>
  </si>
  <si>
    <t>Commission-Based Wholesaling</t>
  </si>
  <si>
    <t>Pharmaceutical and Toiletry Goods Wholesaling</t>
  </si>
  <si>
    <t>Civic, Professional and Other Interest Group Services</t>
  </si>
  <si>
    <t>Funeral, Crematorium and Cemetery Services</t>
  </si>
  <si>
    <t>Personal Care Services</t>
  </si>
  <si>
    <t>Religious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</si>
</sst>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7E3794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2" t="s">
        <v>215</v>
      </c>
      <c r="HJ1" s="2" t="s">
        <v>216</v>
      </c>
      <c r="HK1" s="2" t="s">
        <v>215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35" width="18.88"/>
  </cols>
  <sheetData>
    <row r="1">
      <c r="A1" s="1" t="str">
        <f>Industry!A1</f>
        <v>Timestamp</v>
      </c>
      <c r="B1" s="1" t="str">
        <f>Industry!B1</f>
        <v>Email</v>
      </c>
      <c r="C1" s="1" t="str">
        <f>Industry!C1</f>
        <v>Last Name</v>
      </c>
      <c r="D1" s="1" t="str">
        <f>Industry!D1</f>
        <v>First Name</v>
      </c>
      <c r="E1" s="1" t="str">
        <f>Industry!E1</f>
        <v>Industry </v>
      </c>
      <c r="F1" s="1" t="str">
        <f>Industry!F1</f>
        <v>Accommodation and Food Services</v>
      </c>
      <c r="G1" s="1" t="str">
        <f>Industry!G1</f>
        <v>Food and Beverage Services Group</v>
      </c>
      <c r="H1" s="1" t="str">
        <f>Industry!H1</f>
        <v>Cafes, Restaurants and Takeaway Food Services</v>
      </c>
      <c r="I1" s="1" t="str">
        <f>Industry!I1</f>
        <v>Administrative and Support Services</v>
      </c>
      <c r="J1" s="1" t="str">
        <f>Industry!J1</f>
        <v>Administrative Services Group</v>
      </c>
      <c r="K1" s="1" t="str">
        <f>Industry!K1</f>
        <v>Employment Services</v>
      </c>
      <c r="L1" s="1" t="str">
        <f>Industry!L1</f>
        <v>Other Administrative Services</v>
      </c>
      <c r="M1" s="1" t="str">
        <f>Industry!M1</f>
        <v>Building Cleaning, Pest Control and Other Support Services Group</v>
      </c>
      <c r="N1" s="1" t="str">
        <f>Industry!N1</f>
        <v>Building Cleaning, Pest Control and Gardening Services</v>
      </c>
      <c r="O1" s="1" t="str">
        <f>Industry!O1</f>
        <v>Agriculture, Forestry and Fishing</v>
      </c>
      <c r="P1" s="1" t="str">
        <f>Industry!P1</f>
        <v>Agriculture Group</v>
      </c>
      <c r="Q1" s="1" t="str">
        <f>Industry!Q1</f>
        <v>Fruit and Tree Nut Growing</v>
      </c>
      <c r="R1" s="1" t="str">
        <f>Industry!R1</f>
        <v>Mushroom and Vegetable Growing</v>
      </c>
      <c r="S1" s="1" t="str">
        <f>Industry!S1</f>
        <v>Nursery and Floriculture Production</v>
      </c>
      <c r="T1" s="1" t="str">
        <f>Industry!T1</f>
        <v>Poultry Farming </v>
      </c>
      <c r="U1" s="1" t="str">
        <f>Industry!U1</f>
        <v>Sheep, Beef Cattle and Grain Farming</v>
      </c>
      <c r="V1" s="1" t="str">
        <f>Industry!V1</f>
        <v>Other Crop Growing</v>
      </c>
      <c r="W1" s="1" t="str">
        <f>Industry!W1</f>
        <v>Other Livestock Farming </v>
      </c>
      <c r="X1" s="1" t="str">
        <f>Industry!X1</f>
        <v>Agriculture, Forestry and Fishing Support Services Group</v>
      </c>
      <c r="Y1" s="1" t="str">
        <f>Industry!Y1</f>
        <v>Agriculture and Fishing Support Services</v>
      </c>
      <c r="Z1" s="1" t="str">
        <f>Industry!Z1</f>
        <v>Aquaculture</v>
      </c>
      <c r="AA1" s="1" t="str">
        <f>Industry!AA1</f>
        <v>Fishing, Hunting and Trapping Group</v>
      </c>
      <c r="AB1" s="1" t="str">
        <f>Industry!AB1</f>
        <v>Fishing</v>
      </c>
      <c r="AC1" s="1" t="str">
        <f>Industry!AC1</f>
        <v>Forestry and Logging</v>
      </c>
      <c r="AD1" s="1" t="str">
        <f>Industry!AD1</f>
        <v>Arts and Recreation Services </v>
      </c>
      <c r="AE1" s="1" t="str">
        <f>Industry!AE1</f>
        <v>Creative and Performing Arts Activities</v>
      </c>
      <c r="AF1" s="1" t="str">
        <f>Industry!AF1</f>
        <v>Gambling Activities</v>
      </c>
      <c r="AG1" s="1" t="str">
        <f>Industry!AG1</f>
        <v>Heritage Activities</v>
      </c>
      <c r="AH1" s="1" t="str">
        <f>Industry!AH1</f>
        <v>Parks and Gardens Operations</v>
      </c>
      <c r="AI1" s="1" t="str">
        <f>Industry!AI1</f>
        <v>Sports and Recreation Activities</v>
      </c>
      <c r="AJ1" s="1" t="str">
        <f>Industry!AJ1</f>
        <v>Amusement and Other Recreation Activities</v>
      </c>
      <c r="AK1" s="1" t="str">
        <f>Industry!AK1</f>
        <v>Horse and Dog Racing Activities</v>
      </c>
      <c r="AL1" s="1" t="str">
        <f>Industry!AL1</f>
        <v>Sports and Physical Recreation Activities</v>
      </c>
      <c r="AM1" s="1" t="str">
        <f>Industry!AM1</f>
        <v>Construction</v>
      </c>
      <c r="AN1" s="1" t="str">
        <f>Industry!AN1</f>
        <v>Building Construction</v>
      </c>
      <c r="AO1" s="1" t="str">
        <f>Industry!AO1</f>
        <v>Residential Building Construction</v>
      </c>
      <c r="AP1" s="1" t="str">
        <f>Industry!AP1</f>
        <v>Construction Services</v>
      </c>
      <c r="AQ1" s="1" t="str">
        <f>Industry!AQ1</f>
        <v>Building Completion Services</v>
      </c>
      <c r="AR1" s="1" t="str">
        <f>Industry!AR1</f>
        <v>Building Installation Services</v>
      </c>
      <c r="AS1" s="1" t="str">
        <f>Industry!AS1</f>
        <v>Building Structure Services</v>
      </c>
      <c r="AT1" s="1" t="str">
        <f>Industry!AT1</f>
        <v>Land Development and Site Preparation Services </v>
      </c>
      <c r="AU1" s="1" t="str">
        <f>Industry!AU1</f>
        <v>Other Construction Services</v>
      </c>
      <c r="AV1" s="1" t="str">
        <f>Industry!AV1</f>
        <v>Heavy and Civil Engineering Construction</v>
      </c>
      <c r="AW1" s="1" t="str">
        <f>Industry!AW1</f>
        <v>Education and Training</v>
      </c>
      <c r="AX1" s="1" t="str">
        <f>Industry!AX1</f>
        <v>Adult, Community and Other Education</v>
      </c>
      <c r="AY1" s="1" t="str">
        <f>Industry!AY1</f>
        <v>Adult, Community and Other Education</v>
      </c>
      <c r="AZ1" s="1" t="str">
        <f>Industry!AZ1</f>
        <v>Preschool and School Education</v>
      </c>
      <c r="BA1" s="1" t="str">
        <f>Industry!BA1</f>
        <v>School Education</v>
      </c>
      <c r="BB1" s="1" t="str">
        <f>Industry!BB1</f>
        <v>Tertiary Education</v>
      </c>
      <c r="BC1" s="1" t="str">
        <f>Industry!BC1</f>
        <v>Electricity Supply</v>
      </c>
      <c r="BD1" s="1" t="str">
        <f>Industry!BD1</f>
        <v>Electricity Distribution</v>
      </c>
      <c r="BE1" s="1" t="str">
        <f>Industry!BE1</f>
        <v>Electricity Generation</v>
      </c>
      <c r="BF1" s="1" t="str">
        <f>Industry!BF1</f>
        <v>Waste Collection, Treatment and Disposal Services</v>
      </c>
      <c r="BG1" s="1" t="str">
        <f>Industry!BG1</f>
        <v>Waste Collection Services</v>
      </c>
      <c r="BH1" s="1" t="str">
        <f>Industry!BH1</f>
        <v>Waste Treatment, Disposal and Remediation Services</v>
      </c>
      <c r="BI1" s="1" t="str">
        <f>Industry!BI1</f>
        <v>Water Supply, Sewerage and Drainage Services</v>
      </c>
      <c r="BJ1" s="1" t="str">
        <f>Industry!BJ1</f>
        <v>Financial and Insurance Services</v>
      </c>
      <c r="BK1" s="1" t="str">
        <f>Industry!BK1</f>
        <v>Auxiliary Finance and Insurance Services</v>
      </c>
      <c r="BL1" s="1" t="str">
        <f>Industry!BL1</f>
        <v>Auxiliary Finance and Investment Services</v>
      </c>
      <c r="BM1" s="1" t="str">
        <f>Industry!BM1</f>
        <v>Finance</v>
      </c>
      <c r="BN1" s="1" t="str">
        <f>Industry!BN1</f>
        <v>Depository Financial Intermediation</v>
      </c>
      <c r="BO1" s="1" t="str">
        <f>Industry!BO1</f>
        <v>Insurance and Superannuation Funds</v>
      </c>
      <c r="BP1" s="1" t="str">
        <f>Industry!BP1</f>
        <v>Health and General Insurance</v>
      </c>
      <c r="BQ1" s="1" t="str">
        <f>Industry!BQ1</f>
        <v>Health Care and Social Assistance</v>
      </c>
      <c r="BR1" s="1" t="str">
        <f>Industry!BR1</f>
        <v>Hospitals</v>
      </c>
      <c r="BS1" s="1" t="str">
        <f>Industry!BS1</f>
        <v>Medical and Other Health Care Services</v>
      </c>
      <c r="BT1" s="1" t="str">
        <f>Industry!BT1</f>
        <v>Allied Health Services </v>
      </c>
      <c r="BU1" s="1" t="str">
        <f>Industry!BU1</f>
        <v>Medical Services</v>
      </c>
      <c r="BV1" s="1" t="str">
        <f>Industry!BV1</f>
        <v>Other Health Care Services</v>
      </c>
      <c r="BW1" s="1" t="str">
        <f>Industry!BW1</f>
        <v>Residential Care Services</v>
      </c>
      <c r="BX1" s="1" t="str">
        <f>Industry!BX1</f>
        <v>Social Assistance Services</v>
      </c>
      <c r="BY1" s="1" t="str">
        <f>Industry!BY1</f>
        <v>Information Media and Telecommunications </v>
      </c>
      <c r="BZ1" s="1" t="str">
        <f>Industry!BZ1</f>
        <v>Broadcasting (except Internet)</v>
      </c>
      <c r="CA1" s="1" t="str">
        <f>Industry!CA1</f>
        <v>Television Broadcasting</v>
      </c>
      <c r="CB1" s="1" t="str">
        <f>Industry!CB1</f>
        <v>Internet Service Providers, Web Search Portals and Data Processing Services</v>
      </c>
      <c r="CC1" s="1" t="str">
        <f>Industry!CC1</f>
        <v>Data Processing, Web Hosting and Electronic Information Storage Services</v>
      </c>
      <c r="CD1" s="1" t="str">
        <f>Industry!CD1</f>
        <v>Library and Other Information Services</v>
      </c>
      <c r="CE1" s="1" t="str">
        <f>Industry!CE1</f>
        <v>Motion Picture and Sound Recording Activities</v>
      </c>
      <c r="CF1" s="1" t="str">
        <f>Industry!CF1</f>
        <v>Motion Picture and Video Activities</v>
      </c>
      <c r="CG1" s="1" t="str">
        <f>Industry!CG1</f>
        <v>Sound Recording and Music Publishing</v>
      </c>
      <c r="CH1" s="1" t="str">
        <f>Industry!CH1</f>
        <v>Publishing (except Internet and Music Publishing)</v>
      </c>
      <c r="CI1" s="1" t="str">
        <f>Industry!CI1</f>
        <v>Newspaper, Periodical, Book and Directory Publishing</v>
      </c>
      <c r="CJ1" s="1" t="str">
        <f>Industry!CJ1</f>
        <v>Manufacturing</v>
      </c>
      <c r="CK1" s="1" t="str">
        <f>Industry!CK1</f>
        <v>Basic Chemical and Chemical Product Manufacturing</v>
      </c>
      <c r="CL1" s="1" t="str">
        <f>Industry!CL1</f>
        <v>Basic Chemical Manufacturing</v>
      </c>
      <c r="CM1" s="1" t="str">
        <f>Industry!CM1</f>
        <v>Basic Polymer Manufacturing</v>
      </c>
      <c r="CN1" s="1" t="str">
        <f>Industry!CN1</f>
        <v>Cleaning Compound and Toiletry Preparation Manufacturing</v>
      </c>
      <c r="CO1" s="1" t="str">
        <f>Industry!CO1</f>
        <v>Fertiliser and Pesticide Manufacturing</v>
      </c>
      <c r="CP1" s="1" t="str">
        <f>Industry!CP1</f>
        <v>Pharmaceutical and Medicinal Product Manufacturing</v>
      </c>
      <c r="CQ1" s="1" t="str">
        <f>Industry!CQ1</f>
        <v>Other Basic Chemical Product Manufacturing</v>
      </c>
      <c r="CR1" s="1" t="str">
        <f>Industry!CR1</f>
        <v>Beverage and Tobacco Product Manufacturing		</v>
      </c>
      <c r="CS1" s="1" t="str">
        <f>Industry!CS1</f>
        <v>Beverage Manufacturing</v>
      </c>
      <c r="CT1" s="1" t="str">
        <f>Industry!CT1</f>
        <v>Fabricated Metal Product Manufacturing</v>
      </c>
      <c r="CU1" s="1" t="str">
        <f>Industry!CU1</f>
        <v>Metal Container Manufacturing</v>
      </c>
      <c r="CV1" s="1" t="str">
        <f>Industry!CV1</f>
        <v>Structural Metal Product Manufacturing</v>
      </c>
      <c r="CW1" s="1" t="str">
        <f>Industry!CW1</f>
        <v>Other Fabricated Metal Product Manufacturing</v>
      </c>
      <c r="CX1" s="1" t="str">
        <f>Industry!CX1</f>
        <v>Food Product Manufacturing</v>
      </c>
      <c r="CY1" s="1" t="str">
        <f>Industry!CY1</f>
        <v>Bakery Product Manufacturing</v>
      </c>
      <c r="CZ1" s="1" t="str">
        <f>Industry!CZ1</f>
        <v>Dairy Product Manufacturing</v>
      </c>
      <c r="DA1" s="1" t="str">
        <f>Industry!DA1</f>
        <v>Grain Mill and Cereal Product Manufacturing</v>
      </c>
      <c r="DB1" s="1" t="str">
        <f>Industry!DB1</f>
        <v>Meat and Meat Product Manufacturing</v>
      </c>
      <c r="DC1" s="1" t="str">
        <f>Industry!DC1</f>
        <v>Sugar and Confectionery Manufacturing</v>
      </c>
      <c r="DD1" s="1" t="str">
        <f>Industry!DD1</f>
        <v>Other Food Product Manufacturing</v>
      </c>
      <c r="DE1" s="1" t="str">
        <f>Industry!DE1</f>
        <v>Furniture and Other Manufacturing</v>
      </c>
      <c r="DF1" s="1" t="str">
        <f>Industry!DF1</f>
        <v>Furniture Manufacturing</v>
      </c>
      <c r="DG1" s="1" t="str">
        <f>Industry!DG1</f>
        <v>Other Manufacturing</v>
      </c>
      <c r="DH1" s="1" t="str">
        <f>Industry!DH1</f>
        <v>Machinery and Equipment Manufacturing</v>
      </c>
      <c r="DI1" s="1" t="str">
        <f>Industry!DI1</f>
        <v>Computer and Electronic Equipment Manufacturing</v>
      </c>
      <c r="DJ1" s="1" t="str">
        <f>Industry!DJ1</f>
        <v>Domestic Appliance Manufacturing</v>
      </c>
      <c r="DK1" s="1" t="str">
        <f>Industry!DK1</f>
        <v>Electrical Equipment Manufacturing</v>
      </c>
      <c r="DL1" s="1" t="str">
        <f>Industry!DL1</f>
        <v>Professional and Scientific Equipment Manufacturing</v>
      </c>
      <c r="DM1" s="1" t="str">
        <f>Industry!DM1</f>
        <v>Pump, Compressor, Heating and Ventilation Equipment Manufacturing</v>
      </c>
      <c r="DN1" s="1" t="str">
        <f>Industry!DN1</f>
        <v>Specialised Machinery and Equipment Manufacturing</v>
      </c>
      <c r="DO1" s="1" t="str">
        <f>Industry!DO1</f>
        <v>Other Machinery and Equipment Manufacturing</v>
      </c>
      <c r="DP1" s="1" t="str">
        <f>Industry!DP1</f>
        <v>Non-Metallic Mineral Product Manufacturing</v>
      </c>
      <c r="DQ1" s="1" t="str">
        <f>Industry!DQ1</f>
        <v>Cement, Lime, Plaster and Concrete Product Manufacturing</v>
      </c>
      <c r="DR1" s="1" t="str">
        <f>Industry!DR1</f>
        <v>Ceramic Product Manufacturing</v>
      </c>
      <c r="DS1" s="1" t="str">
        <f>Industry!DS1</f>
        <v>Petroleum and Coal Product Manufacturing</v>
      </c>
      <c r="DT1" s="1" t="str">
        <f>Industry!DT1</f>
        <v>Polymer Product and Rubber Product Manufacturing</v>
      </c>
      <c r="DU1" s="1" t="str">
        <f>Industry!DU1</f>
        <v>Polymer Product Manufacturing</v>
      </c>
      <c r="DV1" s="1" t="str">
        <f>Industry!DV1</f>
        <v>Primary Metal and Metal Product Manufacturing</v>
      </c>
      <c r="DW1" s="1" t="str">
        <f>Industry!DW1</f>
        <v>Basic Ferrous Metal Manufacturing</v>
      </c>
      <c r="DX1" s="1" t="str">
        <f>Industry!DX1</f>
        <v>Basic Ferrous Metal Product Manufacturing</v>
      </c>
      <c r="DY1" s="1" t="str">
        <f>Industry!DY1</f>
        <v>Basic Non-Ferrous Metal Manufacturing</v>
      </c>
      <c r="DZ1" s="1" t="str">
        <f>Industry!DZ1</f>
        <v>Basic Non-Ferrous Metal Product Manufacturing </v>
      </c>
      <c r="EA1" s="1" t="str">
        <f>Industry!EA1</f>
        <v>Printing (including the Reproduction of Recorded Media)</v>
      </c>
      <c r="EB1" s="1" t="str">
        <f>Industry!EB1</f>
        <v>Printing and Printing Support Services</v>
      </c>
      <c r="EC1" s="1" t="str">
        <f>Industry!EC1</f>
        <v>Pulp, Paper and Converted Paper Product Manufacturing</v>
      </c>
      <c r="ED1" s="1" t="str">
        <f>Industry!ED1</f>
        <v>Converted Paper Product Manufacturing</v>
      </c>
      <c r="EE1" s="1" t="str">
        <f>Industry!EE1</f>
        <v>Textile, Leather, Clothing and Footwear Manufacturing</v>
      </c>
      <c r="EF1" s="1" t="str">
        <f>Industry!EF1</f>
        <v>Clothing and Footwear Manufacturing</v>
      </c>
      <c r="EG1" s="1" t="str">
        <f>Industry!EG1</f>
        <v>Textile Manufacturing </v>
      </c>
      <c r="EH1" s="1" t="str">
        <f>Industry!EH1</f>
        <v>Textile Product Manufacturing </v>
      </c>
      <c r="EI1" s="1" t="str">
        <f>Industry!EI1</f>
        <v>Transport Equipment Manufacturing</v>
      </c>
      <c r="EJ1" s="1" t="str">
        <f>Industry!EJ1</f>
        <v>Motor Vehicle and Motor Vehicle Part Manufacturing </v>
      </c>
      <c r="EK1" s="1" t="str">
        <f>Industry!EK1</f>
        <v>Other Transport Equipment Manufacturing</v>
      </c>
      <c r="EL1" s="1" t="str">
        <f>Industry!EL1</f>
        <v>Wood Product Manufacturing</v>
      </c>
      <c r="EM1" s="1" t="str">
        <f>Industry!EM1</f>
        <v>Log Sawmilling and Timber Dressing</v>
      </c>
      <c r="EN1" s="1" t="str">
        <f>Industry!EN1</f>
        <v>Other Wood Product Manufacturing</v>
      </c>
      <c r="EO1" s="1" t="str">
        <f>Industry!EO1</f>
        <v>Mining</v>
      </c>
      <c r="EP1" s="1" t="str">
        <f>Industry!EP1</f>
        <v>Exploration and Other Mining Support Services</v>
      </c>
      <c r="EQ1" s="1" t="str">
        <f>Industry!EQ1</f>
        <v>Exploration</v>
      </c>
      <c r="ER1" s="1" t="str">
        <f>Industry!ER1</f>
        <v>Metal Ore Mining</v>
      </c>
      <c r="ES1" s="1" t="str">
        <f>Industry!ES1</f>
        <v>Non-Metallic Mineral Mining and Quarrying</v>
      </c>
      <c r="ET1" s="1" t="str">
        <f>Industry!ET1</f>
        <v>Construction Material Mining</v>
      </c>
      <c r="EU1" s="1" t="str">
        <f>Industry!EU1</f>
        <v>Professional, Scientific and Technical Services</v>
      </c>
      <c r="EV1" s="1" t="str">
        <f>Industry!EV1</f>
        <v>Professional, Scientific and Technical Services (Except Computer System Design and Related Services) </v>
      </c>
      <c r="EW1" s="1" t="str">
        <f>Industry!EW1</f>
        <v>Architectural, Engineering and Technical Services</v>
      </c>
      <c r="EX1" s="1" t="str">
        <f>Industry!EX1</f>
        <v>Legal and Accounting Services </v>
      </c>
      <c r="EY1" s="1" t="str">
        <f>Industry!EY1</f>
        <v>Management and Related Consulting Services </v>
      </c>
      <c r="EZ1" s="1" t="str">
        <f>Industry!EZ1</f>
        <v>Other Professional, Scientific and Technical Services</v>
      </c>
      <c r="FA1" s="1" t="str">
        <f>Industry!FA1</f>
        <v>Public Administration and Safety</v>
      </c>
      <c r="FB1" s="1" t="str">
        <f>Industry!FB1</f>
        <v>Public Administration</v>
      </c>
      <c r="FC1" s="1" t="str">
        <f>Industry!FC1</f>
        <v>Government Representation</v>
      </c>
      <c r="FD1" s="1" t="str">
        <f>Industry!FD1</f>
        <v>Public Order, Safety and Regulatory Services</v>
      </c>
      <c r="FE1" s="1" t="str">
        <f>Industry!FE1</f>
        <v>Public Order and Safety Services</v>
      </c>
      <c r="FF1" s="1" t="str">
        <f>Industry!FF1</f>
        <v>Rental Hiring and Real Estate Services</v>
      </c>
      <c r="FG1" s="1" t="str">
        <f>Industry!FG1</f>
        <v>Property Operators and Real Estate Services</v>
      </c>
      <c r="FH1" s="1" t="str">
        <f>Industry!FH1</f>
        <v>Property Operators</v>
      </c>
      <c r="FI1" s="1" t="str">
        <f>Industry!FI1</f>
        <v>Rental and Hiring Services (except Real Estate)</v>
      </c>
      <c r="FJ1" s="1" t="str">
        <f>Industry!FJ1</f>
        <v>Motor Vehicle and Transport Equipment Rental and Hiring </v>
      </c>
      <c r="FK1" s="1" t="str">
        <f>Industry!FK1</f>
        <v>Other Goods and Equipment Rental and Hiring</v>
      </c>
      <c r="FL1" s="1" t="str">
        <f>Industry!FL1</f>
        <v>Retail Trade</v>
      </c>
      <c r="FM1" s="1" t="str">
        <f>Industry!FM1</f>
        <v>Food Retailing</v>
      </c>
      <c r="FN1" s="1" t="str">
        <f>Industry!FN1</f>
        <v>Specialised Food Retailing</v>
      </c>
      <c r="FO1" s="1" t="str">
        <f>Industry!FO1</f>
        <v>Motor Vehicle and Motor Vehicle Parts Retailing</v>
      </c>
      <c r="FP1" s="1" t="str">
        <f>Industry!FP1</f>
        <v>Motor Vehicle Parts and Tyre Retailing</v>
      </c>
      <c r="FQ1" s="1" t="str">
        <f>Industry!FQ1</f>
        <v>Motor Vehicle Retailing</v>
      </c>
      <c r="FR1" s="1" t="str">
        <f>Industry!FR1</f>
        <v>Non-Store Retailing and Retail Commission Based Buying and/or Selling</v>
      </c>
      <c r="FS1" s="1" t="str">
        <f>Industry!FS1</f>
        <v>Other Store-Based Retailing</v>
      </c>
      <c r="FT1" s="1" t="str">
        <f>Industry!FT1</f>
        <v>Clothing, Footwear and Personal Accessory Retailing</v>
      </c>
      <c r="FU1" s="1" t="str">
        <f>Industry!FU1</f>
        <v>Electrical and Electronic Goods Retailing</v>
      </c>
      <c r="FV1" s="1" t="str">
        <f>Industry!FV1</f>
        <v>Furniture, Floor Coverings, Houseware and Textile Goods Retailing</v>
      </c>
      <c r="FW1" s="1" t="str">
        <f>Industry!FW1</f>
        <v>Hardware, Building and Garden Supplies Retailing</v>
      </c>
      <c r="FX1" s="1" t="str">
        <f>Industry!FX1</f>
        <v>Pharmaceutical and Other Store-Based Retailing</v>
      </c>
      <c r="FY1" s="1" t="str">
        <f>Industry!FY1</f>
        <v>Recreational Goods Retailing</v>
      </c>
      <c r="FZ1" s="1" t="str">
        <f>Industry!FZ1</f>
        <v>Transport, Postal and Warehousing</v>
      </c>
      <c r="GA1" s="1" t="str">
        <f>Industry!GA1</f>
        <v>Postal and Courier Pick-up and Delivery Services</v>
      </c>
      <c r="GB1" s="1" t="str">
        <f>Industry!GB1</f>
        <v>Rail Transport</v>
      </c>
      <c r="GC1" s="1" t="str">
        <f>Industry!GC1</f>
        <v>Road Transport</v>
      </c>
      <c r="GD1" s="1" t="str">
        <f>Industry!GD1</f>
        <v>Road Passenger Transport </v>
      </c>
      <c r="GE1" s="1" t="str">
        <f>Industry!GE1</f>
        <v>Transport Support Services</v>
      </c>
      <c r="GF1" s="1" t="str">
        <f>Industry!GF1</f>
        <v>Other Transport Support Services</v>
      </c>
      <c r="GG1" s="1" t="str">
        <f>Industry!GG1</f>
        <v>Water Transport Support Services</v>
      </c>
      <c r="GH1" s="1" t="str">
        <f>Industry!GH1</f>
        <v>Warehousing and Storage Services</v>
      </c>
      <c r="GI1" s="1" t="str">
        <f>Industry!GI1</f>
        <v>Water Transport</v>
      </c>
      <c r="GJ1" s="1" t="str">
        <f>Industry!GJ1</f>
        <v>Other Transport</v>
      </c>
      <c r="GK1" s="1" t="str">
        <f>Industry!GK1</f>
        <v>Pipeline and Other Transport</v>
      </c>
      <c r="GL1" s="1" t="str">
        <f>Industry!GL1</f>
        <v>Wholesale Trade</v>
      </c>
      <c r="GM1" s="1" t="str">
        <f>Industry!GM1</f>
        <v>Basic Material Wholesaling</v>
      </c>
      <c r="GN1" s="1" t="str">
        <f>Industry!GN1</f>
        <v>Agricultural Product Wholesaling</v>
      </c>
      <c r="GO1" s="1" t="str">
        <f>Industry!GO1</f>
        <v>Mineral, Metal and Chemical Wholesaling</v>
      </c>
      <c r="GP1" s="1" t="str">
        <f>Industry!GP1</f>
        <v>Timber and Hardware Goods Wholesaling</v>
      </c>
      <c r="GQ1" s="1" t="str">
        <f>Industry!GQ1</f>
        <v>Grocery, Liquor and Tobacco Product Wholesaling</v>
      </c>
      <c r="GR1" s="1" t="str">
        <f>Industry!GR1</f>
        <v>Machinery and Equipment Wholesaling</v>
      </c>
      <c r="GS1" s="1" t="str">
        <f>Industry!GS1</f>
        <v>Specialised Industrial Machinery and Equipment Wholesaling</v>
      </c>
      <c r="GT1" s="1" t="str">
        <f>Industry!GT1</f>
        <v>Other Machinery and Equipment Wholesaling</v>
      </c>
      <c r="GU1" s="1" t="str">
        <f>Industry!GU1</f>
        <v>Motor Vehicle and Motor Vehicle Parts Wholesaling</v>
      </c>
      <c r="GV1" s="1" t="str">
        <f>Industry!GV1</f>
        <v>Other Goods Wholesaling</v>
      </c>
      <c r="GW1" s="1" t="str">
        <f>Industry!GW1</f>
        <v>Furniture, Floor Covering and Other Goods Wholesaling</v>
      </c>
      <c r="GX1" s="1" t="str">
        <f>Industry!GX1</f>
        <v>Textile, Clothing and Footwear Wholesaling</v>
      </c>
      <c r="GY1" s="1" t="str">
        <f>Industry!GY1</f>
        <v>Other Services</v>
      </c>
      <c r="GZ1" s="1" t="str">
        <f>Industry!GZ1</f>
        <v>Personal and Other Services</v>
      </c>
      <c r="HA1" s="1" t="str">
        <f>Industry!HA1</f>
        <v>Civic Professional and Other Interest Group Services</v>
      </c>
      <c r="HB1" s="1" t="str">
        <f>Industry!HB1</f>
        <v>Personal Care Services </v>
      </c>
      <c r="HC1" s="1" t="str">
        <f>Industry!HC1</f>
        <v>Other Personal Services</v>
      </c>
      <c r="HD1" s="1" t="str">
        <f>Industry!HD1</f>
        <v>Private Households Employing Staff and Undifferentiated Goods- and Service-Producing Activities of Households for Own Use</v>
      </c>
      <c r="HE1" s="1" t="str">
        <f>Industry!HE1</f>
        <v>Repair and Maintenance</v>
      </c>
      <c r="HF1" s="1" t="str">
        <f>Industry!HF1</f>
        <v>Automotive Repair and Maintenance</v>
      </c>
      <c r="HG1" s="1" t="str">
        <f>Industry!HG1</f>
        <v>Machinery and Equipment Repair and Maintenance</v>
      </c>
      <c r="HH1" s="1" t="str">
        <f>Industry!HH1</f>
        <v>Other Repair and Maintenance</v>
      </c>
      <c r="HI1" s="3" t="s">
        <v>217</v>
      </c>
      <c r="HJ1" s="3" t="s">
        <v>7</v>
      </c>
      <c r="HK1" s="3" t="s">
        <v>218</v>
      </c>
      <c r="HL1" s="3" t="s">
        <v>219</v>
      </c>
      <c r="HM1" s="3" t="s">
        <v>10</v>
      </c>
      <c r="HN1" s="3" t="s">
        <v>220</v>
      </c>
      <c r="HO1" s="3" t="s">
        <v>11</v>
      </c>
      <c r="HP1" s="3" t="s">
        <v>13</v>
      </c>
      <c r="HQ1" s="3" t="s">
        <v>221</v>
      </c>
      <c r="HR1" s="3" t="s">
        <v>222</v>
      </c>
      <c r="HS1" s="3" t="s">
        <v>223</v>
      </c>
      <c r="HT1" s="3" t="s">
        <v>16</v>
      </c>
      <c r="HU1" s="3" t="s">
        <v>17</v>
      </c>
      <c r="HV1" s="3" t="s">
        <v>18</v>
      </c>
      <c r="HW1" s="3" t="s">
        <v>224</v>
      </c>
      <c r="HX1" s="3" t="s">
        <v>20</v>
      </c>
      <c r="HY1" s="3" t="s">
        <v>21</v>
      </c>
      <c r="HZ1" s="3" t="s">
        <v>225</v>
      </c>
      <c r="IA1" s="3" t="s">
        <v>24</v>
      </c>
      <c r="IB1" s="3" t="s">
        <v>226</v>
      </c>
      <c r="IC1" s="3" t="s">
        <v>25</v>
      </c>
      <c r="ID1" s="3" t="s">
        <v>27</v>
      </c>
      <c r="IE1" s="3" t="s">
        <v>227</v>
      </c>
      <c r="IF1" s="3" t="s">
        <v>28</v>
      </c>
      <c r="IG1" s="3" t="s">
        <v>30</v>
      </c>
      <c r="IH1" s="3" t="s">
        <v>31</v>
      </c>
      <c r="II1" s="3" t="s">
        <v>228</v>
      </c>
      <c r="IJ1" s="3" t="s">
        <v>33</v>
      </c>
      <c r="IK1" s="3" t="s">
        <v>35</v>
      </c>
      <c r="IL1" s="3" t="s">
        <v>36</v>
      </c>
      <c r="IM1" s="3" t="s">
        <v>37</v>
      </c>
      <c r="IN1" s="3" t="s">
        <v>40</v>
      </c>
      <c r="IO1" s="3" t="s">
        <v>229</v>
      </c>
      <c r="IP1" s="3" t="s">
        <v>42</v>
      </c>
      <c r="IQ1" s="3" t="s">
        <v>43</v>
      </c>
      <c r="IR1" s="3" t="s">
        <v>44</v>
      </c>
      <c r="IS1" s="3" t="s">
        <v>230</v>
      </c>
      <c r="IT1" s="3" t="s">
        <v>46</v>
      </c>
      <c r="IU1" s="3" t="s">
        <v>231</v>
      </c>
      <c r="IV1" s="3" t="s">
        <v>232</v>
      </c>
      <c r="IW1" s="3" t="s">
        <v>49</v>
      </c>
      <c r="IX1" s="3" t="s">
        <v>233</v>
      </c>
      <c r="IY1" s="3" t="s">
        <v>234</v>
      </c>
      <c r="IZ1" s="3" t="s">
        <v>51</v>
      </c>
      <c r="JA1" s="3" t="s">
        <v>235</v>
      </c>
      <c r="JB1" s="3" t="s">
        <v>236</v>
      </c>
      <c r="JC1" s="3" t="s">
        <v>54</v>
      </c>
      <c r="JD1" s="3" t="s">
        <v>55</v>
      </c>
      <c r="JE1" s="3" t="s">
        <v>237</v>
      </c>
      <c r="JF1" s="3" t="s">
        <v>238</v>
      </c>
      <c r="JG1" s="3" t="s">
        <v>239</v>
      </c>
      <c r="JH1" s="3" t="s">
        <v>57</v>
      </c>
      <c r="JI1" s="3" t="s">
        <v>58</v>
      </c>
      <c r="JJ1" s="3" t="s">
        <v>240</v>
      </c>
      <c r="JK1" s="3" t="s">
        <v>241</v>
      </c>
      <c r="JL1" s="3" t="s">
        <v>62</v>
      </c>
      <c r="JM1" s="3" t="s">
        <v>242</v>
      </c>
      <c r="JN1" s="3" t="s">
        <v>243</v>
      </c>
      <c r="JO1" s="3" t="s">
        <v>64</v>
      </c>
      <c r="JP1" s="3" t="s">
        <v>244</v>
      </c>
      <c r="JQ1" s="3" t="s">
        <v>245</v>
      </c>
      <c r="JR1" s="3" t="s">
        <v>66</v>
      </c>
      <c r="JS1" s="3" t="s">
        <v>246</v>
      </c>
      <c r="JT1" s="3" t="s">
        <v>247</v>
      </c>
      <c r="JU1" s="3" t="s">
        <v>68</v>
      </c>
      <c r="JV1" s="3" t="s">
        <v>71</v>
      </c>
      <c r="JW1" s="3" t="s">
        <v>248</v>
      </c>
      <c r="JX1" s="3" t="s">
        <v>249</v>
      </c>
      <c r="JY1" s="3" t="s">
        <v>72</v>
      </c>
      <c r="JZ1" s="3" t="s">
        <v>250</v>
      </c>
      <c r="KA1" s="3" t="s">
        <v>251</v>
      </c>
      <c r="KB1" s="3" t="s">
        <v>252</v>
      </c>
      <c r="KC1" s="3" t="s">
        <v>253</v>
      </c>
      <c r="KD1" s="3" t="s">
        <v>254</v>
      </c>
      <c r="KE1" s="3" t="s">
        <v>77</v>
      </c>
      <c r="KF1" s="3" t="s">
        <v>255</v>
      </c>
      <c r="KG1" s="3" t="s">
        <v>79</v>
      </c>
      <c r="KH1" s="3" t="s">
        <v>256</v>
      </c>
      <c r="KI1" s="3" t="s">
        <v>257</v>
      </c>
      <c r="KJ1" s="3" t="s">
        <v>258</v>
      </c>
      <c r="KK1" s="3" t="s">
        <v>82</v>
      </c>
      <c r="KL1" s="3" t="s">
        <v>83</v>
      </c>
      <c r="KM1" s="3" t="s">
        <v>85</v>
      </c>
      <c r="KN1" s="3" t="s">
        <v>259</v>
      </c>
      <c r="KO1" s="3" t="s">
        <v>260</v>
      </c>
      <c r="KP1" s="3" t="s">
        <v>88</v>
      </c>
      <c r="KQ1" s="3" t="s">
        <v>89</v>
      </c>
      <c r="KR1" s="3" t="s">
        <v>90</v>
      </c>
      <c r="KS1" s="3" t="s">
        <v>91</v>
      </c>
      <c r="KT1" s="3" t="s">
        <v>92</v>
      </c>
      <c r="KU1" s="3" t="s">
        <v>93</v>
      </c>
      <c r="KV1" s="3" t="s">
        <v>95</v>
      </c>
      <c r="KW1" s="3" t="s">
        <v>261</v>
      </c>
      <c r="KX1" s="3" t="s">
        <v>262</v>
      </c>
      <c r="KY1" s="3" t="s">
        <v>97</v>
      </c>
      <c r="KZ1" s="3" t="s">
        <v>263</v>
      </c>
      <c r="LA1" s="3" t="s">
        <v>98</v>
      </c>
      <c r="LB1" s="3" t="s">
        <v>99</v>
      </c>
      <c r="LC1" s="3" t="s">
        <v>101</v>
      </c>
      <c r="LD1" s="3" t="s">
        <v>102</v>
      </c>
      <c r="LE1" s="3" t="s">
        <v>264</v>
      </c>
      <c r="LF1" s="3" t="s">
        <v>103</v>
      </c>
      <c r="LG1" s="3" t="s">
        <v>104</v>
      </c>
      <c r="LH1" s="3" t="s">
        <v>265</v>
      </c>
      <c r="LI1" s="3" t="s">
        <v>266</v>
      </c>
      <c r="LJ1" s="3" t="s">
        <v>105</v>
      </c>
      <c r="LK1" s="3" t="s">
        <v>106</v>
      </c>
      <c r="LL1" s="4" t="s">
        <v>108</v>
      </c>
      <c r="LM1" s="4" t="s">
        <v>109</v>
      </c>
      <c r="LN1" s="3" t="s">
        <v>111</v>
      </c>
      <c r="LO1" s="3" t="s">
        <v>112</v>
      </c>
      <c r="LP1" s="3" t="s">
        <v>113</v>
      </c>
      <c r="LQ1" s="3" t="s">
        <v>114</v>
      </c>
      <c r="LR1" s="3" t="s">
        <v>115</v>
      </c>
      <c r="LS1" s="3" t="s">
        <v>116</v>
      </c>
      <c r="LT1" s="3" t="s">
        <v>117</v>
      </c>
      <c r="LU1" s="3" t="s">
        <v>119</v>
      </c>
      <c r="LV1" s="3" t="s">
        <v>120</v>
      </c>
      <c r="LW1" s="3" t="s">
        <v>267</v>
      </c>
      <c r="LX1" s="3" t="s">
        <v>268</v>
      </c>
      <c r="LY1" s="3" t="s">
        <v>269</v>
      </c>
      <c r="LZ1" s="3" t="s">
        <v>270</v>
      </c>
      <c r="MA1" s="3" t="s">
        <v>271</v>
      </c>
      <c r="MB1" s="3" t="s">
        <v>123</v>
      </c>
      <c r="MC1" s="3" t="s">
        <v>125</v>
      </c>
      <c r="MD1" s="3" t="s">
        <v>126</v>
      </c>
      <c r="ME1" s="3" t="s">
        <v>127</v>
      </c>
      <c r="MF1" s="3" t="s">
        <v>272</v>
      </c>
      <c r="MG1" s="3" t="s">
        <v>130</v>
      </c>
      <c r="MH1" s="3" t="s">
        <v>273</v>
      </c>
      <c r="MI1" s="3" t="s">
        <v>132</v>
      </c>
      <c r="MJ1" s="3" t="s">
        <v>274</v>
      </c>
      <c r="MK1" s="3" t="s">
        <v>134</v>
      </c>
      <c r="ML1" s="3" t="s">
        <v>275</v>
      </c>
      <c r="MM1" s="3" t="s">
        <v>276</v>
      </c>
      <c r="MN1" s="3" t="s">
        <v>277</v>
      </c>
      <c r="MO1" s="3" t="s">
        <v>278</v>
      </c>
      <c r="MP1" s="3" t="s">
        <v>279</v>
      </c>
      <c r="MQ1" s="3" t="s">
        <v>139</v>
      </c>
      <c r="MR1" s="3" t="s">
        <v>141</v>
      </c>
      <c r="MS1" s="3" t="s">
        <v>142</v>
      </c>
      <c r="MT1" s="3" t="s">
        <v>280</v>
      </c>
      <c r="MU1" s="3" t="s">
        <v>145</v>
      </c>
      <c r="MV1" s="3" t="s">
        <v>281</v>
      </c>
      <c r="MW1" s="3" t="s">
        <v>146</v>
      </c>
      <c r="MX1" s="3" t="s">
        <v>148</v>
      </c>
      <c r="MY1" s="3" t="s">
        <v>282</v>
      </c>
      <c r="MZ1" s="3" t="s">
        <v>283</v>
      </c>
      <c r="NA1" s="3" t="s">
        <v>284</v>
      </c>
      <c r="NB1" s="3" t="s">
        <v>285</v>
      </c>
      <c r="NC1" s="3" t="s">
        <v>151</v>
      </c>
      <c r="ND1" s="3" t="s">
        <v>286</v>
      </c>
      <c r="NE1" s="3" t="s">
        <v>287</v>
      </c>
      <c r="NF1" s="3" t="s">
        <v>288</v>
      </c>
      <c r="NG1" s="3" t="s">
        <v>289</v>
      </c>
      <c r="NH1" s="3" t="s">
        <v>290</v>
      </c>
      <c r="NI1" s="3" t="s">
        <v>154</v>
      </c>
      <c r="NJ1" s="3" t="s">
        <v>291</v>
      </c>
      <c r="NK1" s="3" t="s">
        <v>292</v>
      </c>
      <c r="NL1" s="3" t="s">
        <v>293</v>
      </c>
      <c r="NM1" s="3" t="s">
        <v>294</v>
      </c>
      <c r="NN1" s="3" t="s">
        <v>157</v>
      </c>
      <c r="NO1" s="3" t="s">
        <v>295</v>
      </c>
      <c r="NP1" s="3" t="s">
        <v>159</v>
      </c>
      <c r="NQ1" s="3" t="s">
        <v>296</v>
      </c>
      <c r="NR1" s="3" t="s">
        <v>162</v>
      </c>
      <c r="NS1" s="3" t="s">
        <v>297</v>
      </c>
      <c r="NT1" s="3" t="s">
        <v>298</v>
      </c>
      <c r="NU1" s="3" t="s">
        <v>299</v>
      </c>
      <c r="NV1" s="3" t="s">
        <v>300</v>
      </c>
      <c r="NW1" s="3" t="s">
        <v>165</v>
      </c>
      <c r="NX1" s="3" t="s">
        <v>301</v>
      </c>
      <c r="NY1" s="3" t="s">
        <v>168</v>
      </c>
      <c r="NZ1" s="3" t="s">
        <v>302</v>
      </c>
      <c r="OA1" s="3" t="s">
        <v>170</v>
      </c>
      <c r="OB1" s="3" t="s">
        <v>171</v>
      </c>
      <c r="OC1" s="3" t="s">
        <v>303</v>
      </c>
      <c r="OD1" s="3" t="s">
        <v>304</v>
      </c>
      <c r="OE1" s="3" t="s">
        <v>174</v>
      </c>
      <c r="OF1" s="3" t="s">
        <v>305</v>
      </c>
      <c r="OG1" s="3" t="s">
        <v>175</v>
      </c>
      <c r="OH1" s="3" t="s">
        <v>176</v>
      </c>
      <c r="OI1" s="3" t="s">
        <v>177</v>
      </c>
      <c r="OJ1" s="3" t="s">
        <v>178</v>
      </c>
      <c r="OK1" s="3" t="s">
        <v>179</v>
      </c>
      <c r="OL1" s="3" t="s">
        <v>306</v>
      </c>
      <c r="OM1" s="3" t="s">
        <v>181</v>
      </c>
      <c r="ON1" s="3" t="s">
        <v>307</v>
      </c>
      <c r="OO1" s="3" t="s">
        <v>308</v>
      </c>
      <c r="OP1" s="3" t="s">
        <v>309</v>
      </c>
      <c r="OQ1" s="3" t="s">
        <v>310</v>
      </c>
      <c r="OR1" s="3" t="s">
        <v>311</v>
      </c>
      <c r="OS1" s="3" t="s">
        <v>187</v>
      </c>
      <c r="OT1" s="3" t="s">
        <v>186</v>
      </c>
      <c r="OU1" s="3" t="s">
        <v>188</v>
      </c>
      <c r="OV1" s="3" t="s">
        <v>312</v>
      </c>
      <c r="OW1" s="3" t="s">
        <v>313</v>
      </c>
      <c r="OX1" s="3" t="s">
        <v>191</v>
      </c>
      <c r="OY1" s="3" t="s">
        <v>314</v>
      </c>
      <c r="OZ1" s="3" t="s">
        <v>194</v>
      </c>
      <c r="PA1" s="3" t="s">
        <v>195</v>
      </c>
      <c r="PB1" s="3" t="s">
        <v>196</v>
      </c>
      <c r="PC1" s="3" t="s">
        <v>315</v>
      </c>
      <c r="PD1" s="3" t="s">
        <v>197</v>
      </c>
      <c r="PE1" s="3" t="s">
        <v>199</v>
      </c>
      <c r="PF1" s="3" t="s">
        <v>200</v>
      </c>
      <c r="PG1" s="3" t="s">
        <v>201</v>
      </c>
      <c r="PH1" s="3" t="s">
        <v>204</v>
      </c>
      <c r="PI1" s="3" t="s">
        <v>203</v>
      </c>
      <c r="PJ1" s="3" t="s">
        <v>316</v>
      </c>
      <c r="PK1" s="3" t="s">
        <v>317</v>
      </c>
      <c r="PL1" s="3" t="s">
        <v>318</v>
      </c>
      <c r="PM1" s="3" t="s">
        <v>319</v>
      </c>
      <c r="PN1" s="3" t="s">
        <v>320</v>
      </c>
      <c r="PO1" s="3" t="s">
        <v>209</v>
      </c>
      <c r="PP1" s="3" t="s">
        <v>210</v>
      </c>
      <c r="PQ1" s="3" t="s">
        <v>212</v>
      </c>
      <c r="PR1" s="3" t="s">
        <v>213</v>
      </c>
      <c r="PS1" s="5" t="s">
        <v>214</v>
      </c>
    </row>
    <row r="2">
      <c r="HI2" s="4" t="str">
        <f t="shared" ref="HI2:HI101" si="2">if(ISERROR(SEARCH("Accommodation",F2)),"","440")</f>
        <v/>
      </c>
      <c r="HJ2" s="4" t="str">
        <f t="shared" ref="HJ2:HJ101" si="3">if(ISERROR(SEARCH("Cafes, Restaurants and Takeaway Food Services",G2)),"","450")</f>
        <v/>
      </c>
      <c r="HK2" s="4" t="str">
        <f t="shared" ref="HK2:HK101" si="4">if(ISERROR(SEARCH("Clubs (Hospitality)",G2)),"","453")</f>
        <v/>
      </c>
      <c r="HL2" s="4" t="str">
        <f t="shared" ref="HL2:HL101" si="5">if(ISERROR(SEARCH("Pubs, Taverns and Bars",G2)),"","452")</f>
        <v/>
      </c>
      <c r="HM2" s="4" t="str">
        <f t="shared" ref="HM2:HM101" si="6">if(ISERROR(SEARCH("Employment Services",J2)),"","721")</f>
        <v/>
      </c>
      <c r="HN2" s="4" t="str">
        <f t="shared" ref="HN2:HN101" si="7">if(ISERROR(SEARCH("Travel Agency and Tour Arrangement Services",J2)),"","722")</f>
        <v/>
      </c>
      <c r="HO2" s="4" t="str">
        <f t="shared" ref="HO2:HO101" si="8">if(ISERROR(SEARCH("Other Administrative Services",J2)),"","729")</f>
        <v/>
      </c>
      <c r="HP2" s="4" t="str">
        <f t="shared" ref="HP2:HP101" si="9">if(ISERROR(SEARCH("Building Cleaning, Pest Control and Gardening Servicess",M2)),"","731")</f>
        <v/>
      </c>
      <c r="HQ2" s="4" t="str">
        <f t="shared" ref="HQ2:HQ101" si="10">if(ISERROR(SEARCH("Packaging Services",M2)),"","732")</f>
        <v/>
      </c>
      <c r="HR2" s="4" t="str">
        <f t="shared" ref="HR2:HR101" si="11">if(ISERROR(SEARCH("Dairy Cattle Farming",P2)),"","016")</f>
        <v/>
      </c>
      <c r="HS2" s="4" t="str">
        <f t="shared" ref="HS2:HS101" si="12">if(ISERROR(SEARCH("Deer Farming",P2)),"","018")</f>
        <v/>
      </c>
      <c r="HT2" s="4" t="str">
        <f t="shared" ref="HT2:HT101" si="13">if(ISERROR(SEARCH("Fruit and Tree Nut Growing",P2)),"","013")</f>
        <v/>
      </c>
      <c r="HU2" s="4" t="str">
        <f t="shared" ref="HU2:HU101" si="14">if(ISERROR(SEARCH("Mushroom and Vegetable Growing",P2)),"","012")</f>
        <v/>
      </c>
      <c r="HV2" s="4" t="str">
        <f t="shared" ref="HV2:HV101" si="15">if(ISERROR(SEARCH("Nursery and Floriculture Production",P2)),"","011")</f>
        <v/>
      </c>
      <c r="HW2" s="4" t="str">
        <f t="shared" ref="HW2:HW101" si="16">if(ISERROR(SEARCH("Poultry Farming",P2)),"","017")</f>
        <v/>
      </c>
      <c r="HX2" s="4" t="str">
        <f t="shared" ref="HX2:HX101" si="17">if(ISERROR(SEARCH("Sheep, Beef Cattle and Grain Farming",P2)),"","014")</f>
        <v/>
      </c>
      <c r="HY2" s="4" t="str">
        <f t="shared" ref="HY2:HY101" si="18">if(ISERROR(SEARCH("Other Crop Growing",P2)),"","015")</f>
        <v/>
      </c>
      <c r="HZ2" s="4" t="str">
        <f t="shared" ref="HZ2:HZ101" si="19">if(ISERROR(SEARCH("Other Livestock Farming",P2)),"","019")</f>
        <v/>
      </c>
      <c r="IA2" s="4" t="str">
        <f t="shared" ref="IA2:IA101" si="20">if(ISERROR(SEARCH("Agriculture and Fishing Support Services",X2)),"","052")</f>
        <v/>
      </c>
      <c r="IB2" s="4" t="str">
        <f t="shared" ref="IB2:IB101" si="21">if(ISERROR(SEARCH("Forestry Support Services",X2)),"","051")</f>
        <v/>
      </c>
      <c r="IC2" s="4" t="str">
        <f t="shared" ref="IC2:IC101" si="22">if(ISERROR(SEARCH("Aquaculture",Z2)),"","020")</f>
        <v/>
      </c>
      <c r="ID2" s="4" t="str">
        <f t="shared" ref="ID2:ID101" si="23">if(ISERROR(SEARCH("Fishing",AA2)),"","041")</f>
        <v/>
      </c>
      <c r="IE2" s="4" t="str">
        <f t="shared" ref="IE2:IE101" si="24">if(ISERROR(SEARCH("Hunting and Trapping",AA2)),"","042")</f>
        <v/>
      </c>
      <c r="IF2" s="4" t="str">
        <f t="shared" ref="IF2:IF101" si="25">if(ISERROR(SEARCH("Forestry and Logging",AB2)),"","030")</f>
        <v/>
      </c>
      <c r="IG2" s="4" t="str">
        <f t="shared" ref="IG2:IG101" si="26">if(ISERROR(SEARCH("Creative and Performing Arts Activities",AD2)),"","900")</f>
        <v/>
      </c>
      <c r="IH2" s="4" t="str">
        <f t="shared" ref="IH2:IH101" si="27">if(ISERROR(SEARCH("Gambling Activities",AD2)),"","920")</f>
        <v/>
      </c>
      <c r="II2" s="4" t="str">
        <f t="shared" ref="II2:II101" si="28">if(ISERROR(SEARCH("Museum Operation",AG2)),"","891")</f>
        <v/>
      </c>
      <c r="IJ2" s="4" t="str">
        <f t="shared" ref="IJ2:IJ101" si="29">if(ISERROR(SEARCH("Parks and Gardens Operations",AG2)),"","892")</f>
        <v/>
      </c>
      <c r="IK2" s="4" t="str">
        <f t="shared" ref="IK2:IK101" si="30">if(ISERROR(SEARCH("Amusement and Other Recreation Activities",AI2)),"","913")</f>
        <v/>
      </c>
      <c r="IL2" s="4" t="str">
        <f t="shared" ref="IL2:IL101" si="31">if(ISERROR(SEARCH("Horse and Dog Racing Activities",AI2)),"","912")</f>
        <v/>
      </c>
      <c r="IM2" s="4" t="str">
        <f t="shared" ref="IM2:IM101" si="32">if(ISERROR(SEARCH("Sports and Physical Recreation Activities",AI2)),"","911")</f>
        <v/>
      </c>
      <c r="IN2" s="4" t="str">
        <f t="shared" ref="IN2:IN101" si="33">if(ISERROR(SEARCH("Residential Building Construction",AN2)),"","301")</f>
        <v/>
      </c>
      <c r="IO2" s="4" t="str">
        <f t="shared" ref="IO2:IO101" si="34">if(ISERROR(SEARCH("Non-Residential Building Construction",AN2)),"","302")</f>
        <v/>
      </c>
      <c r="IP2" s="4" t="str">
        <f t="shared" ref="IP2:IP101" si="35">if(ISERROR(SEARCH("Building Completion Services",AP2)),"","324")</f>
        <v/>
      </c>
      <c r="IQ2" s="4" t="str">
        <f t="shared" ref="IQ2:IQ101" si="36">if(ISERROR(SEARCH("Building Installation Servicess",AP2)),"","323")</f>
        <v/>
      </c>
      <c r="IR2" s="4" t="str">
        <f t="shared" ref="IR2:IR101" si="37">if(ISERROR(SEARCH("Building Structure Services",AP2)),"","322")</f>
        <v/>
      </c>
      <c r="IS2" s="4" t="str">
        <f t="shared" ref="IS2:IS101" si="38">if(ISERROR(SEARCH("Land Development and Site Preparation Services",AP2)),"","321")</f>
        <v/>
      </c>
      <c r="IT2" s="4" t="str">
        <f t="shared" ref="IT2:IT101" si="39">if(ISERROR(SEARCH("Other Construction Services",AP2)),"","329")</f>
        <v/>
      </c>
      <c r="IU2" s="4" t="str">
        <f t="shared" ref="IU2:IU101" si="40">if(ISERROR(SEARCH("Road and Bridge Construction",AV2)),"","310")</f>
        <v/>
      </c>
      <c r="IV2" s="4" t="str">
        <f t="shared" ref="IV2:IV101" si="41">if(ISERROR(SEARCH("Other Heavy and Civil Engineering Construction",AV2)),"","310")</f>
        <v/>
      </c>
      <c r="IW2" s="4" t="str">
        <f t="shared" ref="IW2:IW101" si="42">if(ISERROR(SEARCH("Adult, Community and Other Education",AX2)),"","821")</f>
        <v/>
      </c>
      <c r="IX2" s="4" t="str">
        <f t="shared" ref="IX2:IX101" si="43">if(ISERROR(SEARCH("Educational Support Services",AX2)),"","822")</f>
        <v/>
      </c>
      <c r="IY2" s="4" t="str">
        <f t="shared" ref="IY2:IY101" si="44">if(ISERROR(SEARCH("Preschool Education",AZ2)),"","801")</f>
        <v/>
      </c>
      <c r="IZ2" s="4" t="str">
        <f t="shared" ref="IZ2:IZ101" si="45">if(ISERROR(SEARCH("School Education",AZ2)),"","802")</f>
        <v/>
      </c>
      <c r="JA2" s="4" t="str">
        <f t="shared" ref="JA2:JB2" si="1">if(ISERROR(SEARCH("Higher Education",BB2)),"","810")</f>
        <v/>
      </c>
      <c r="JB2" s="4" t="str">
        <f t="shared" si="1"/>
        <v/>
      </c>
      <c r="JC2" s="4" t="str">
        <f t="shared" ref="JC2:JC101" si="47">if(ISERROR(SEARCH("Electricity Distribution",BC2)),"","263")</f>
        <v/>
      </c>
      <c r="JD2" s="4" t="str">
        <f t="shared" ref="JD2:JD101" si="48">if(ISERROR(SEARCH("Electricity Generation",BC2)),"","261")</f>
        <v/>
      </c>
      <c r="JE2" s="4" t="str">
        <f t="shared" ref="JE2:JE101" si="49">if(ISERROR(SEARCH("Electricity Transmission",BC2)),"","262")</f>
        <v/>
      </c>
      <c r="JF2" s="4" t="str">
        <f t="shared" ref="JF2:JF101" si="50">if(ISERROR(SEARCH("On Selling Electricity and Electricity Market Operation",BC2)),"","264")</f>
        <v/>
      </c>
      <c r="JG2" s="4" t="str">
        <f t="shared" ref="JG2:JG101" si="51">if(ISERROR(SEARCH("Gas Supply",BC2)),"","270")</f>
        <v/>
      </c>
      <c r="JH2" s="4" t="str">
        <f t="shared" ref="JH2:JH101" si="52">if(ISERROR(SEARCH("Waste Collection Services",BF2)),"","291")</f>
        <v/>
      </c>
      <c r="JI2" s="4" t="str">
        <f t="shared" ref="JI2:JI101" si="53">if(ISERROR(SEARCH("Waste Treatment, Disposal and Remediation Services",BF2)),"","292")</f>
        <v/>
      </c>
      <c r="JJ2" s="4" t="str">
        <f t="shared" ref="JJ2:JJ101" si="54">if(ISERROR(SEARCH("Sewerage and Drainage Services",BI2)),"","281")</f>
        <v/>
      </c>
      <c r="JK2" s="4" t="str">
        <f t="shared" ref="JK2:JK101" si="55">if(ISERROR(SEARCH("Water Supply",BI2)),"","281")</f>
        <v/>
      </c>
      <c r="JL2" s="4" t="str">
        <f t="shared" ref="JL2:JL101" si="56">if(ISERROR(SEARCH("Auxiliary Finance and Investment Services",BK2)),"","641")</f>
        <v/>
      </c>
      <c r="JM2" s="4" t="str">
        <f t="shared" ref="JM2:JM101" si="57">if(ISERROR(SEARCH("Auxiliary Insurance Services",BK2)),"","642")</f>
        <v/>
      </c>
      <c r="JN2" s="4" t="str">
        <f t="shared" ref="JN2:JN101" si="58">if(ISERROR(SEARCH("Central Banking",BM2)),"","621")</f>
        <v/>
      </c>
      <c r="JO2" s="4" t="str">
        <f t="shared" ref="JO2:JO101" si="59">if(ISERROR(SEARCH("Depository Financial Intermediation",BM2)),"","622")</f>
        <v/>
      </c>
      <c r="JP2" s="4" t="str">
        <f t="shared" ref="JP2:JP101" si="60">if(ISERROR(SEARCH("Financial Asset Investing",BM2)),"","624")</f>
        <v/>
      </c>
      <c r="JQ2" s="4" t="str">
        <f t="shared" ref="JQ2:JQ101" si="61">if(ISERROR(SEARCH("Non-Depository Financing",BM2)),"","623")</f>
        <v/>
      </c>
      <c r="JR2" s="4" t="str">
        <f t="shared" ref="JR2:JR101" si="62">if(ISERROR(SEARCH("Health and General Insurance",BO2)),"","632")</f>
        <v/>
      </c>
      <c r="JS2" s="4" t="str">
        <f t="shared" ref="JS2:JS101" si="63">if(ISERROR(SEARCH("Life Insurance",BO2)),"","631")</f>
        <v/>
      </c>
      <c r="JT2" s="4" t="str">
        <f t="shared" ref="JT2:JT101" si="64">if(ISERROR(SEARCH("Superannuation Funds",BO2)),"","633")</f>
        <v/>
      </c>
      <c r="JU2" s="4" t="str">
        <f t="shared" ref="JU2:JU101" si="65">if(ISERROR(SEARCH("Hospitals",BQ2)),"","840")</f>
        <v/>
      </c>
      <c r="JV2" s="4" t="str">
        <f t="shared" ref="JV2:JV101" si="66">if(ISERROR(SEARCH("Medical Services",BS2)),"","851")</f>
        <v/>
      </c>
      <c r="JW2" s="4" t="str">
        <f t="shared" ref="JW2:JW101" si="67">if(ISERROR(SEARCH("Pathology and Diagnostic Imaging Services",BS2)),"","852")</f>
        <v/>
      </c>
      <c r="JX2" s="4" t="str">
        <f t="shared" ref="JX2:JX101" si="68">if(ISERROR(SEARCH("Allied Health Services",BS2)),"","853")</f>
        <v/>
      </c>
      <c r="JY2" s="4" t="str">
        <f t="shared" ref="JY2:JY101" si="69">if(ISERROR(SEARCH("Other Health Care Services",BS2)),"","859")</f>
        <v/>
      </c>
      <c r="JZ2" s="4" t="str">
        <f t="shared" ref="JZ2:JZ101" si="70">if(ISERROR(SEARCH("Aged Care Residential Services",BW2)),"","860")</f>
        <v/>
      </c>
      <c r="KA2" s="4" t="str">
        <f t="shared" ref="KA2:KA101" si="71">if(ISERROR(SEARCH("Other Residential Care Services",BW2)),"","860")</f>
        <v/>
      </c>
      <c r="KB2" s="4" t="str">
        <f t="shared" ref="KB2:KB101" si="72">if(ISERROR(SEARCH("Child Care Services",BX2)),"","871")</f>
        <v/>
      </c>
      <c r="KC2" s="4" t="str">
        <f t="shared" ref="KC2:KC101" si="73">if(ISERROR(SEARCH("Other Social Assistance Services",BX2)),"","879")</f>
        <v/>
      </c>
      <c r="KD2" s="4" t="str">
        <f t="shared" ref="KD2:KD101" si="74">if(ISERROR(SEARCH("Radio Broadcasting",BZ2)),"","561")</f>
        <v/>
      </c>
      <c r="KE2" s="4" t="str">
        <f t="shared" ref="KE2:KE101" si="75">if(ISERROR(SEARCH("Television Broadcasting",BZ2)),"","562")</f>
        <v/>
      </c>
      <c r="KF2" s="4" t="str">
        <f t="shared" ref="KF2:KF101" si="76">if(ISERROR(SEARCH("Internet Publishing and Broadcasting",BY2)),"","570")</f>
        <v/>
      </c>
      <c r="KG2" s="4" t="str">
        <f t="shared" ref="KG2:KG101" si="77">if(ISERROR(SEARCH("Data Processing, Web Hosting and Electronic Information Storage Services",CB2)),"","592")</f>
        <v/>
      </c>
      <c r="KH2" s="4" t="str">
        <f t="shared" ref="KH2:KH101" si="78">if(ISERROR(SEARCH("Internet Service Providers and Web Search Portals",CB2)),"","591")</f>
        <v/>
      </c>
      <c r="KI2" s="4" t="str">
        <f t="shared" ref="KI2:KI101" si="79">if(ISERROR(SEARCH("Libraries and Archives",CD2)),"","601")</f>
        <v/>
      </c>
      <c r="KJ2" s="4" t="str">
        <f t="shared" ref="KJ2:KJ101" si="80">if(ISERROR(SEARCH("Other Information Services",CD2)),"","602")</f>
        <v/>
      </c>
      <c r="KK2" s="4" t="str">
        <f t="shared" ref="KK2:KK101" si="81">if(ISERROR(SEARCH("Motion Picture and Video Activities",CE2)),"","551")</f>
        <v/>
      </c>
      <c r="KL2" s="4" t="str">
        <f t="shared" ref="KL2:KL101" si="82">if(ISERROR(SEARCH("Sound Recording and Music Publishing",CE2)),"","552")</f>
        <v/>
      </c>
      <c r="KM2" s="4" t="str">
        <f t="shared" ref="KM2:KM101" si="83">if(ISERROR(SEARCH("Newspaper, Periodical, Book and Directory Publishing",CH2)),"","541")</f>
        <v/>
      </c>
      <c r="KN2" s="4" t="str">
        <f t="shared" ref="KN2:KN101" si="84">if(ISERROR(SEARCH("Software Publishing",CH2)),"","542")</f>
        <v/>
      </c>
      <c r="KO2" s="4" t="str">
        <f t="shared" ref="KO2:KO101" si="85">if(ISERROR(SEARCH("Telecommunications Services",BY2)),"","580")</f>
        <v/>
      </c>
      <c r="KP2" s="4" t="str">
        <f t="shared" ref="KP2:KP101" si="86">if(ISERROR(SEARCH("Basic Chemical Manufacturing",CK2)),"","181")</f>
        <v/>
      </c>
      <c r="KQ2" s="4" t="str">
        <f t="shared" ref="KQ2:KQ101" si="87">if(ISERROR(SEARCH("Basic Polymer Manufacturing",CK2)),"","182")</f>
        <v/>
      </c>
      <c r="KR2" s="4" t="str">
        <f t="shared" ref="KR2:KR101" si="88">if(ISERROR(SEARCH("Cleaning Compound and Toiletry Preparation Manufacturing",CK2)),"","185")</f>
        <v/>
      </c>
      <c r="KS2" s="4" t="str">
        <f t="shared" ref="KS2:KS101" si="89">if(ISERROR(SEARCH("Fertiliser and Pesticide Manufacturing",CK2)),"","183")</f>
        <v/>
      </c>
      <c r="KT2" s="4" t="str">
        <f t="shared" ref="KT2:KT101" si="90">if(ISERROR(SEARCH("Pharmaceutical and Medicinal Product Manufacturing",CK2)),"","184")</f>
        <v/>
      </c>
      <c r="KU2" s="4" t="str">
        <f t="shared" ref="KU2:KU101" si="91">if(ISERROR(SEARCH("Other Basic Chemical Product Manufacturing",CK2)),"","189")</f>
        <v/>
      </c>
      <c r="KV2" s="4" t="str">
        <f t="shared" ref="KV2:KV101" si="92">if(ISERROR(SEARCH("Beverage Manufacturing",CR2)),"","121")</f>
        <v/>
      </c>
      <c r="KW2" s="4" t="str">
        <f t="shared" ref="KW2:KW101" si="93">if(ISERROR(SEARCH("Cigarette and Tobacco Product Manufacturing",CR2)),"","122")</f>
        <v/>
      </c>
      <c r="KX2" s="4" t="str">
        <f t="shared" ref="KX2:KX101" si="94">if(ISERROR(SEARCH("Iron and Steel Forging",CT2)),"","221")</f>
        <v/>
      </c>
      <c r="KY2" s="4" t="str">
        <f t="shared" ref="KY2:KY101" si="95">if(ISERROR(SEARCH("Metal Container Manufacturing",CT2)),"","223")</f>
        <v/>
      </c>
      <c r="KZ2" s="4" t="str">
        <f t="shared" ref="KZ2:KZ101" si="96">if(ISERROR(SEARCH("Sheet Metal Product Manufacturing (except Metal Structural and Container Products)",CT2)),"","224")</f>
        <v/>
      </c>
      <c r="LA2" s="4" t="str">
        <f t="shared" ref="LA2:LA101" si="97">if(ISERROR(SEARCH("Structural Metal Product Manufacturing",CT2)),"","222")</f>
        <v/>
      </c>
      <c r="LB2" s="4" t="str">
        <f t="shared" ref="LB2:LB101" si="98">if(ISERROR(SEARCH("Other Fabricated Metal Product Manufacturing",CT2)),"","229")</f>
        <v/>
      </c>
      <c r="LC2" s="4" t="str">
        <f t="shared" ref="LC2:LC101" si="99">if(ISERROR(SEARCH("Bakery Product Manufacturing",CX2)),"","117")</f>
        <v/>
      </c>
      <c r="LD2" s="4" t="str">
        <f t="shared" ref="LD2:LD101" si="100">if(ISERROR(SEARCH("Dairy Product Manufacturing",CX2)),"","113")</f>
        <v/>
      </c>
      <c r="LE2" s="4" t="str">
        <f t="shared" ref="LE2:LE101" si="101">if(ISERROR(SEARCH("Fruit and Vegetable Processing",CX2)),"","114")</f>
        <v/>
      </c>
      <c r="LF2" s="4" t="str">
        <f t="shared" ref="LF2:LF101" si="102">if(ISERROR(SEARCH("Grain Mill and Cereal Product Manufacturing",CX2)),"","116")</f>
        <v/>
      </c>
      <c r="LG2" s="4" t="str">
        <f t="shared" ref="LG2:LG101" si="103">if(ISERROR(SEARCH("Meat and Meat Product Manufacturing",CX2)),"","111")</f>
        <v/>
      </c>
      <c r="LH2" s="4" t="str">
        <f t="shared" ref="LH2:LH101" si="104">if(ISERROR(SEARCH("Oil and Fat Manufacturing",CX2)),"","115")</f>
        <v/>
      </c>
      <c r="LI2" s="4" t="str">
        <f t="shared" ref="LI2:LI101" si="105">if(ISERROR(SEARCH("Seafood Processing",CX2)),"","112")</f>
        <v/>
      </c>
      <c r="LJ2" s="4" t="str">
        <f t="shared" ref="LJ2:LJ101" si="106">if(ISERROR(SEARCH("Sugar and Confectionery Manufacturing",CX2)),"","118")</f>
        <v/>
      </c>
      <c r="LK2" s="4" t="str">
        <f t="shared" ref="LK2:LK101" si="107">if(ISERROR(SEARCH("Other Food Product Manufacturing",CX2)),"","119")</f>
        <v/>
      </c>
      <c r="LL2" s="4" t="str">
        <f t="shared" ref="LL2:LL101" si="108">if(ISERROR(SEARCH("Furniture Manufacturing",DE2)),"","251")</f>
        <v/>
      </c>
      <c r="LM2" s="4" t="str">
        <f t="shared" ref="LM2:LM101" si="109">if(ISERROR(SEARCH("Other Manufacturing",DE2)),"","259")</f>
        <v/>
      </c>
      <c r="LN2" s="4" t="str">
        <f t="shared" ref="LN2:LN101" si="110">if(ISERROR(SEARCH("Computer and Electronic Equipment Manufacturing",DH2)),"","242")</f>
        <v/>
      </c>
      <c r="LO2" s="4" t="str">
        <f t="shared" ref="LO2:LO101" si="111">if(ISERROR(SEARCH("Domestic Appliance Manufacturing",DH2)),"","244")</f>
        <v/>
      </c>
      <c r="LP2" s="4" t="str">
        <f t="shared" ref="LP2:LP101" si="112">if(ISERROR(SEARCH("Electrical Equipment Manufacturing",DH2)),"","243")</f>
        <v/>
      </c>
      <c r="LQ2" s="4" t="str">
        <f t="shared" ref="LQ2:LQ101" si="113">if(ISERROR(SEARCH("Professional and Scientific Equipment Manufacturing",DH2)),"","241")</f>
        <v/>
      </c>
      <c r="LR2" s="4" t="str">
        <f t="shared" ref="LR2:LR101" si="114">if(ISERROR(SEARCH("Pump, Compressor, Heating and Ventilation Equipment Manufacturing",DH2)),"","245")</f>
        <v/>
      </c>
      <c r="LS2" s="4" t="str">
        <f t="shared" ref="LS2:LS101" si="115">if(ISERROR(SEARCH("Specialised Machinery and Equipment Manufacturing",DH2)),"","246")</f>
        <v/>
      </c>
      <c r="LT2" s="4" t="str">
        <f t="shared" ref="LT2:LT101" si="116">if(ISERROR(SEARCH("Other Machinery and Equipment Manufacturing",DH2)),"","249")</f>
        <v/>
      </c>
      <c r="LU2" s="4" t="str">
        <f t="shared" ref="LU2:LU101" si="117">if(ISERROR(SEARCH("Cement, Lime, Plaster and Concrete Product Manufacturing",DP2)),"","203")</f>
        <v/>
      </c>
      <c r="LV2" s="4" t="str">
        <f t="shared" ref="LV2:LV101" si="118">if(ISERROR(SEARCH("Ceramic Product Manufacturing",DP2)),"","202")</f>
        <v/>
      </c>
      <c r="LW2" s="4" t="str">
        <f t="shared" ref="LW2:LW101" si="119">if(ISERROR(SEARCH("Glass and Glass Product Manufacturing",DP2)),"","201")</f>
        <v/>
      </c>
      <c r="LX2" s="4" t="str">
        <f t="shared" ref="LX2:LX101" si="120">if(ISERROR(SEARCH("Other Non-Metallic Mineral Product Manufacturing",DP2)),"","209")</f>
        <v/>
      </c>
      <c r="LY2" s="4" t="str">
        <f t="shared" ref="LY2:LY101" si="121">if(ISERROR(SEARCH("Petroleum Refining and Petroleum Fuel Manufacturing",DS2)),"","170")</f>
        <v/>
      </c>
      <c r="LZ2" s="4" t="str">
        <f t="shared" ref="LZ2:LZ101" si="122">if(ISERROR(SEARCH("Other Petroleum and Coal Product Manufacturing",DS2)),"","170")</f>
        <v/>
      </c>
      <c r="MA2" s="4" t="str">
        <f t="shared" ref="MA2:MA101" si="123">if(ISERROR(SEARCH("Natural Rubber Product Manufacturing",DT2)),"","192")</f>
        <v/>
      </c>
      <c r="MB2" s="4" t="str">
        <f t="shared" ref="MB2:MB101" si="124">if(ISERROR(SEARCH("Polymer Product Manufacturing",DT2)),"","191")</f>
        <v/>
      </c>
      <c r="MC2" s="4" t="str">
        <f t="shared" ref="MC2:MC101" si="125">if(ISERROR(SEARCH("Basic Ferrous Metal Manufacturing",DV2)),"","211")</f>
        <v/>
      </c>
      <c r="MD2" s="4" t="str">
        <f t="shared" ref="MD2:MD101" si="126">if(ISERROR(SEARCH("Basic Ferrous Metal Product Manufacturing",DV2)),"","212")</f>
        <v/>
      </c>
      <c r="ME2" s="4" t="str">
        <f t="shared" ref="ME2:ME101" si="127">if(ISERROR(SEARCH("Basic Non-Ferrous Metal Manufacturing",DV2)),"","213")</f>
        <v/>
      </c>
      <c r="MF2" s="4" t="str">
        <f t="shared" ref="MF2:MF101" si="128">if(ISERROR(SEARCH("Basic Non-Ferrous Metal Product Manufacturing",DV2)),"","214")</f>
        <v/>
      </c>
      <c r="MG2" s="4" t="str">
        <f t="shared" ref="MG2:MG101" si="129">if(ISERROR(SEARCH("Printing and Printing Support Services",EA2)),"","161")</f>
        <v/>
      </c>
      <c r="MH2" s="4" t="str">
        <f t="shared" ref="MH2:MH101" si="130">if(ISERROR(SEARCH("Reproduction of Recorded Media",EA2)),"","162")</f>
        <v/>
      </c>
      <c r="MI2" s="4" t="str">
        <f t="shared" ref="MI2:MI101" si="131">if(ISERROR(SEARCH("Converted Paper Product Manufacturing",EC2)),"","152")</f>
        <v/>
      </c>
      <c r="MJ2" s="4" t="str">
        <f t="shared" ref="MJ2:MJ101" si="132">if(ISERROR(SEARCH("Pulp, Paper and Paperboard Manufacturing",EC2)),"","151")</f>
        <v/>
      </c>
      <c r="MK2" s="4" t="str">
        <f t="shared" ref="MK2:MK101" si="133">if(ISERROR(SEARCH("Clothing and Footwear Manufacturing",EE2)),"","135")</f>
        <v/>
      </c>
      <c r="ML2" s="4" t="str">
        <f t="shared" ref="ML2:ML101" si="134">if(ISERROR(SEARCH("Knitted Product Manufacturing",EE2)),"","134")</f>
        <v/>
      </c>
      <c r="MM2" s="4" t="str">
        <f t="shared" ref="MM2:MM101" si="135">if(ISERROR(SEARCH("Leather Tanning, Fur Dressing and Leather Product Manufacturing",EE2)),"","132")</f>
        <v/>
      </c>
      <c r="MN2" s="4" t="str">
        <f t="shared" ref="MN2:MN101" si="136">if(ISERROR(SEARCH("Textile Manufacturing",EE2)),"","131")</f>
        <v/>
      </c>
      <c r="MO2" s="4" t="str">
        <f t="shared" ref="MO2:MO101" si="137">if(ISERROR(SEARCH("Textile Product Manufacturing",EE2)),"","133")</f>
        <v/>
      </c>
      <c r="MP2" s="4" t="str">
        <f t="shared" ref="MP2:MP101" si="138">if(ISERROR(SEARCH("Motor Vehicle and Motor Vehicle Part Manufacturing",EI2)),"","231")</f>
        <v/>
      </c>
      <c r="MQ2" s="4" t="str">
        <f t="shared" ref="MQ2:MQ101" si="139">if(ISERROR(SEARCH("Other Transport Equipment Manufacturing",EI2)),"","239")</f>
        <v/>
      </c>
      <c r="MR2" s="4" t="str">
        <f t="shared" ref="MR2:MR101" si="140">if(ISERROR(SEARCH("Log Sawmilling and Timber Dressing",EL2)),"","141")</f>
        <v/>
      </c>
      <c r="MS2" s="4" t="str">
        <f t="shared" ref="MS2:MS101" si="141">if(ISERROR(SEARCH("Other Wood Product Manufacturing",EL2)),"","149")</f>
        <v/>
      </c>
      <c r="MT2" s="4" t="str">
        <f t="shared" ref="MT2:MT101" si="142">if(ISERROR(SEARCH("Coal Mining",EO2)),"","060")</f>
        <v/>
      </c>
      <c r="MU2" s="4" t="str">
        <f t="shared" ref="MU2:MU101" si="143">if(ISERROR(SEARCH("Exploration",EP2)),"","101")</f>
        <v/>
      </c>
      <c r="MV2" s="4" t="str">
        <f t="shared" ref="MV2:MV101" si="144">if(ISERROR(SEARCH("Other Mining Support Services",EP2)),"","109")</f>
        <v/>
      </c>
      <c r="MW2" s="4" t="str">
        <f t="shared" ref="MW2:MW101" si="145">if(ISERROR(SEARCH("Metal Ore Mining",EO2)),"","080")</f>
        <v/>
      </c>
      <c r="MX2" s="4" t="str">
        <f t="shared" ref="MX2:MX101" si="146">if(ISERROR(SEARCH("Construction Material Mining",ES2)),"","091")</f>
        <v/>
      </c>
      <c r="MY2" s="4" t="str">
        <f t="shared" ref="MY2:MY101" si="147">if(ISERROR(SEARCH("Oil and Gas Extraction",EO2)),"","070")</f>
        <v/>
      </c>
      <c r="MZ2" s="4" t="str">
        <f t="shared" ref="MZ2:MZ101" si="148">if(ISERROR(SEARCH("Other Non-Metallic Mineral Mining and Quarrying",ES2)),"","099")</f>
        <v/>
      </c>
      <c r="NA2" s="4" t="str">
        <f t="shared" ref="NA2:NA101" si="149">if(ISERROR(SEARCH("Computer System Design and Related Services",EU2)),"","700")</f>
        <v/>
      </c>
      <c r="NB2" s="4" t="str">
        <f t="shared" ref="NB2:NB101" si="150">if(ISERROR(SEARCH("Advertising Services",EV2)),"","694")</f>
        <v/>
      </c>
      <c r="NC2" s="4" t="str">
        <f t="shared" ref="NC2:NC101" si="151">if(ISERROR(SEARCH("Architectural, Engineering and Technical Services",EV2)),"","692")</f>
        <v/>
      </c>
      <c r="ND2" s="4" t="str">
        <f t="shared" ref="ND2:ND101" si="152">if(ISERROR(SEARCH("Legal and Accounting Services",EV2)),"","693")</f>
        <v/>
      </c>
      <c r="NE2" s="4" t="str">
        <f t="shared" ref="NE2:NE101" si="153">if(ISERROR(SEARCH("Management and Related Consulting Services",EV2)),"","696")</f>
        <v/>
      </c>
      <c r="NF2" s="4" t="str">
        <f t="shared" ref="NF2:NF101" si="154">if(ISERROR(SEARCH("Market Research and Statistical Services",EV2)),"","695")</f>
        <v/>
      </c>
      <c r="NG2" s="4" t="str">
        <f t="shared" ref="NG2:NG101" si="155">if(ISERROR(SEARCH("Scientific Research Services",EV2)),"","691")</f>
        <v/>
      </c>
      <c r="NH2" s="4" t="str">
        <f t="shared" ref="NH2:NH101" si="156">if(ISERROR(SEARCH("Veterinary Services",EV2)),"","697")</f>
        <v/>
      </c>
      <c r="NI2" s="4" t="str">
        <f t="shared" ref="NI2:NI101" si="157">if(ISERROR(SEARCH("Other Professional, Scientific and Technical Services",EV2)),"","699")</f>
        <v/>
      </c>
      <c r="NJ2" s="4" t="str">
        <f t="shared" ref="NJ2:NJ101" si="158">if(ISERROR(SEARCH("Central Government Administration",FB2)),"","751")</f>
        <v/>
      </c>
      <c r="NK2" s="4" t="str">
        <f t="shared" ref="NK2:NK101" si="159">if(ISERROR(SEARCH("State Government Administration",FB2)),"","752")</f>
        <v/>
      </c>
      <c r="NL2" s="4" t="str">
        <f t="shared" ref="NL2:NL101" si="160">if(ISERROR(SEARCH("Local Government Administration",FB2)),"","753")</f>
        <v/>
      </c>
      <c r="NM2" s="4" t="str">
        <f t="shared" ref="NM2:NM101" si="161">if(ISERROR(SEARCH("Justice",FB2)),"","754")</f>
        <v/>
      </c>
      <c r="NN2" s="4" t="str">
        <f t="shared" ref="NN2:NN101" si="162">if(ISERROR(SEARCH("Government Representation",FB2)),"","755")</f>
        <v/>
      </c>
      <c r="NO2" s="4" t="str">
        <f t="shared" ref="NO2:NO101" si="163">if(ISERROR(SEARCH("Defence",FA2)),"","760")</f>
        <v/>
      </c>
      <c r="NP2" s="4" t="str">
        <f t="shared" ref="NP2:NP101" si="164">if(ISERROR(SEARCH("Public Order and Safety Services",FD2)),"","771")</f>
        <v/>
      </c>
      <c r="NQ2" s="4" t="str">
        <f t="shared" ref="NQ2:NQ101" si="165">if(ISERROR(SEARCH("Regulatory Services",FD2)),"","772")</f>
        <v/>
      </c>
      <c r="NR2" s="4" t="str">
        <f t="shared" ref="NR2:NR101" si="166">if(ISERROR(SEARCH("Property Operators",FG2)),"","671")</f>
        <v/>
      </c>
      <c r="NS2" s="4" t="str">
        <f t="shared" ref="NS2:NS101" si="167">if(ISERROR(SEARCH("Real Estate Services",FG2)),"","672")</f>
        <v/>
      </c>
      <c r="NT2" s="4" t="str">
        <f t="shared" ref="NT2:NT101" si="168">if(ISERROR(SEARCH("Farm Animal and Bloodstock Leasing",FI2)),"","662")</f>
        <v/>
      </c>
      <c r="NU2" s="4" t="str">
        <f t="shared" ref="NU2:NU101" si="169">if(ISERROR(SEARCH("Motor Vehicle and Transport Equipment Rental and Hiring",FI2)),"","661")</f>
        <v/>
      </c>
      <c r="NV2" s="4" t="str">
        <f t="shared" ref="NV2:NV101" si="170">if(ISERROR(SEARCH("Non-Financial Intangible Assets (Except Copyrights) Leasing",FI2)),"","664")</f>
        <v/>
      </c>
      <c r="NW2" s="4" t="str">
        <f t="shared" ref="NW2:NW101" si="171">if(ISERROR(SEARCH("Other Goods and Equipment Rental and Hiring",FI2)),"","663")</f>
        <v/>
      </c>
      <c r="NX2" s="4" t="str">
        <f t="shared" ref="NX2:NX101" si="172">if(ISERROR(SEARCH("Supermarket and Grocery Stores",FM2)),"","411")</f>
        <v/>
      </c>
      <c r="NY2" s="4" t="str">
        <f t="shared" ref="NY2:NY101" si="173">if(ISERROR(SEARCH("Specialised Food Retailing",FM2)),"","412")</f>
        <v/>
      </c>
      <c r="NZ2" s="4" t="str">
        <f t="shared" ref="NZ2:NZ101" si="174">if(ISERROR(SEARCH("Fuel Retailing",FL2)),"","400")</f>
        <v/>
      </c>
      <c r="OA2" s="4" t="str">
        <f t="shared" ref="OA2:OA101" si="175">if(ISERROR(SEARCH("Motor Vehicle Parts and Tyre Retailing",FO2)),"","392")</f>
        <v/>
      </c>
      <c r="OB2" s="4" t="str">
        <f t="shared" ref="OB2:OB101" si="176">if(ISERROR(SEARCH("Motor Vehicle Retailing",FO2)),"","391")</f>
        <v/>
      </c>
      <c r="OC2" s="4" t="str">
        <f t="shared" ref="OC2:OC101" si="177">if(ISERROR(SEARCH("Non-Store Retailing",FR2)),"","431")</f>
        <v/>
      </c>
      <c r="OD2" s="4" t="str">
        <f t="shared" ref="OD2:OD101" si="178">if(ISERROR(SEARCH("Retail Commission-Based Buying and/or Selling",FR2)),"","432")</f>
        <v/>
      </c>
      <c r="OE2" s="4" t="str">
        <f t="shared" ref="OE2:OE101" si="179">if(ISERROR(SEARCH("Clothing, Footwear and Personal Accessory Retailing",FS2)),"","425")</f>
        <v/>
      </c>
      <c r="OF2" s="4" t="str">
        <f t="shared" ref="OF2:OF101" si="180">if(ISERROR(SEARCH("Department Stores",FS2)),"","426")</f>
        <v/>
      </c>
      <c r="OG2" s="4" t="str">
        <f t="shared" ref="OG2:OG101" si="181">if(ISERROR(SEARCH("Electrical and Electronic Goods Retailing",FS2)),"","422")</f>
        <v/>
      </c>
      <c r="OH2" s="4" t="str">
        <f t="shared" ref="OH2:OH101" si="182">if(ISERROR(SEARCH("Furniture, Floor Coverings, Houseware and Textile Goods Retailing",FS2)),"","421")</f>
        <v/>
      </c>
      <c r="OI2" s="4" t="str">
        <f t="shared" ref="OI2:OI101" si="183">if(ISERROR(SEARCH("Hardware, Building and Garden Supplies Retailing",FS2)),"","423")</f>
        <v/>
      </c>
      <c r="OJ2" s="4" t="str">
        <f t="shared" ref="OJ2:OJ101" si="184">if(ISERROR(SEARCH("Pharmaceutical and Other Store-Based Retailing",FS2)),"","427")</f>
        <v/>
      </c>
      <c r="OK2" s="4" t="str">
        <f t="shared" ref="OK2:OK101" si="185">if(ISERROR(SEARCH("Recreational Goods Retailing",FS2)),"","424")</f>
        <v/>
      </c>
      <c r="OL2" s="4" t="str">
        <f t="shared" ref="OL2:OL101" si="186">if(ISERROR(SEARCH("Air and Space Transport",FZ2)),"","490")</f>
        <v/>
      </c>
      <c r="OM2" s="4" t="str">
        <f t="shared" ref="OM2:OM101" si="187">if(ISERROR(SEARCH("Postal and Courier Pick-up and Delivery Services",FZ2)),"","510")</f>
        <v/>
      </c>
      <c r="ON2" s="4" t="str">
        <f t="shared" ref="ON2:ON101" si="188">if(ISERROR(SEARCH("Rail Freight Transport",GB2)),"","471")</f>
        <v/>
      </c>
      <c r="OO2" s="4" t="str">
        <f t="shared" ref="OO2:OO101" si="189">if(ISERROR(SEARCH("Rail Passenger Transport",GB2)),"","472")</f>
        <v/>
      </c>
      <c r="OP2" s="4" t="str">
        <f t="shared" ref="OP2:OP101" si="190">if(ISERROR(SEARCH("Road Freight Transport",GC2)),"","461")</f>
        <v/>
      </c>
      <c r="OQ2" s="4" t="str">
        <f t="shared" ref="OQ2:OQ101" si="191">if(ISERROR(SEARCH("Road Passenger Transport",GC2)),"","462")</f>
        <v/>
      </c>
      <c r="OR2" s="4" t="str">
        <f t="shared" ref="OR2:OR101" si="192">if(ISERROR(SEARCH("Airport Operations and Other Air Transport Support Services",GE2)),"","522")</f>
        <v/>
      </c>
      <c r="OS2" s="4" t="str">
        <f t="shared" ref="OS2:OS101" si="193">if(ISERROR(SEARCH("Water Transport Support Services",GE2)),"","521")</f>
        <v/>
      </c>
      <c r="OT2" s="4" t="str">
        <f t="shared" ref="OT2:OT101" si="194">if(ISERROR(SEARCH("Other Transport Support Services",GE2)),"","529")</f>
        <v/>
      </c>
      <c r="OU2" s="4" t="str">
        <f t="shared" ref="OU2:OU101" si="195">if(ISERROR(SEARCH("Warehousing and Storage Services",FZ2)),"","530")</f>
        <v/>
      </c>
      <c r="OV2" s="4" t="str">
        <f t="shared" ref="OV2:OV101" si="196">if(ISERROR(SEARCH("Water Freight Transport",GI2)),"","481")</f>
        <v/>
      </c>
      <c r="OW2" s="4" t="str">
        <f t="shared" ref="OW2:OW101" si="197">if(ISERROR(SEARCH("Water Freight Transport",GI2)),"","482")</f>
        <v/>
      </c>
      <c r="OX2" s="4" t="str">
        <f t="shared" ref="OX2:OX101" si="198">if(ISERROR(SEARCH("Pipeline and Other Transport",GJ2)),"","502")</f>
        <v/>
      </c>
      <c r="OY2" s="4" t="str">
        <f t="shared" ref="OY2:OY101" si="199">if(ISERROR(SEARCH("Scenic and Sightseeing Transport",GJ2)),"","501")</f>
        <v/>
      </c>
      <c r="OZ2" s="4" t="str">
        <f t="shared" ref="OZ2:OZ101" si="200">if(ISERROR(SEARCH("Agricultural Product Wholesaling",GM2)),"","331")</f>
        <v/>
      </c>
      <c r="PA2" s="4" t="str">
        <f t="shared" ref="PA2:PA101" si="201">if(ISERROR(SEARCH("Mineral, Metal and Chemical Wholesaling",GM2)),"","332")</f>
        <v/>
      </c>
      <c r="PB2" s="4" t="str">
        <f t="shared" ref="PB2:PB101" si="202">if(ISERROR(SEARCH("Timber and Hardware Goods Wholesaling",GM2)),"","333")</f>
        <v/>
      </c>
      <c r="PC2" s="4" t="str">
        <f t="shared" ref="PC2:PC101" si="203">if(ISERROR(SEARCH("Commission-Based Wholesaling",GL2)),"","380")</f>
        <v/>
      </c>
      <c r="PD2" s="4" t="str">
        <f t="shared" ref="PD2:PD101" si="204">if(ISERROR(SEARCH("Grocery, Liquor and Tobacco Product Wholesaling",GL2)),"","360")</f>
        <v/>
      </c>
      <c r="PE2" s="4" t="str">
        <f t="shared" ref="PE2:PE101" si="205">if(ISERROR(SEARCH("Specialised Industrial Machinery and Equipment Wholesaling",GR2)),"","341")</f>
        <v/>
      </c>
      <c r="PF2" s="4" t="str">
        <f t="shared" ref="PF2:PF101" si="206">if(ISERROR(SEARCH("Other Machinery and Equipment Wholesaling",GR2)),"","349")</f>
        <v/>
      </c>
      <c r="PG2" s="4" t="str">
        <f t="shared" ref="PG2:PG101" si="207">if(ISERROR(SEARCH("Motor Vehicle and Motor Vehicle Parts Wholesaling",GL2)),"","350")</f>
        <v/>
      </c>
      <c r="PH2" s="4" t="str">
        <f t="shared" ref="PH2:PH101" si="208">if(ISERROR(SEARCH("Textile, Clothing and Footwear Wholesaling",GV2)),"","371")</f>
        <v/>
      </c>
      <c r="PI2" s="4" t="str">
        <f t="shared" ref="PI2:PI101" si="209">if(ISERROR(SEARCH("Furniture, Floor Covering and Other Goods Wholesaling",GV2)),"","373")</f>
        <v/>
      </c>
      <c r="PJ2" s="4" t="str">
        <f t="shared" ref="PJ2:PJ101" si="210">if(ISERROR(SEARCH("Pharmaceutical and Toiletry Goods Wholesaling",GV2)),"","372")</f>
        <v/>
      </c>
      <c r="PK2" s="4" t="str">
        <f t="shared" ref="PK2:PK101" si="211">if(ISERROR(SEARCH("Civic, Professional and Other Interest Group Services",GZ2)),"","955")</f>
        <v/>
      </c>
      <c r="PL2" s="4" t="str">
        <f t="shared" ref="PL2:PL101" si="212">if(ISERROR(SEARCH("Funeral, Crematorium and Cemetery Services",GZ2)),"","952")</f>
        <v/>
      </c>
      <c r="PM2" s="4" t="str">
        <f t="shared" ref="PM2:PM101" si="213">if(ISERROR(SEARCH("Personal Care Services",GZ2)),"","951")</f>
        <v/>
      </c>
      <c r="PN2" s="4" t="str">
        <f t="shared" ref="PN2:PN101" si="214">if(ISERROR(SEARCH("Religious Services",GZ2)),"","954")</f>
        <v/>
      </c>
      <c r="PO2" s="4" t="str">
        <f t="shared" ref="PO2:PO101" si="215">if(ISERROR(SEARCH("Other Personal Services",GZ2)),"","953")</f>
        <v/>
      </c>
      <c r="PP2" s="4" t="str">
        <f t="shared" ref="PP2:PP101" si="216">if(ISERROR(SEARCH("Private Households Employing Staff and Undifferentiated Goods- and Service-Producing Activities of Households for Own Use",GY2)),"","960")</f>
        <v/>
      </c>
      <c r="PQ2" s="4" t="str">
        <f t="shared" ref="PQ2:PQ101" si="217">if(ISERROR(SEARCH("Automotive Repair and Maintenance",HE2)),"","941")</f>
        <v/>
      </c>
      <c r="PR2" s="4" t="str">
        <f t="shared" ref="PR2:PR101" si="218">if(ISERROR(SEARCH("Machinery and Equipment Repair and Maintenance",HE2)),"","942")</f>
        <v/>
      </c>
      <c r="PS2" s="4" t="str">
        <f t="shared" ref="PS2:PS101" si="219">if(ISERROR(SEARCH("Other Repair and Maintenance",HE2)),"","949")</f>
        <v/>
      </c>
    </row>
    <row r="3">
      <c r="HI3" s="4" t="str">
        <f t="shared" si="2"/>
        <v/>
      </c>
      <c r="HJ3" s="4" t="str">
        <f t="shared" si="3"/>
        <v/>
      </c>
      <c r="HK3" s="4" t="str">
        <f t="shared" si="4"/>
        <v/>
      </c>
      <c r="HL3" s="4" t="str">
        <f t="shared" si="5"/>
        <v/>
      </c>
      <c r="HM3" s="4" t="str">
        <f t="shared" si="6"/>
        <v/>
      </c>
      <c r="HN3" s="4" t="str">
        <f t="shared" si="7"/>
        <v/>
      </c>
      <c r="HO3" s="4" t="str">
        <f t="shared" si="8"/>
        <v/>
      </c>
      <c r="HP3" s="4" t="str">
        <f t="shared" si="9"/>
        <v/>
      </c>
      <c r="HQ3" s="4" t="str">
        <f t="shared" si="10"/>
        <v/>
      </c>
      <c r="HR3" s="4" t="str">
        <f t="shared" si="11"/>
        <v/>
      </c>
      <c r="HS3" s="4" t="str">
        <f t="shared" si="12"/>
        <v/>
      </c>
      <c r="HT3" s="4" t="str">
        <f t="shared" si="13"/>
        <v/>
      </c>
      <c r="HU3" s="4" t="str">
        <f t="shared" si="14"/>
        <v/>
      </c>
      <c r="HV3" s="4" t="str">
        <f t="shared" si="15"/>
        <v/>
      </c>
      <c r="HW3" s="4" t="str">
        <f t="shared" si="16"/>
        <v/>
      </c>
      <c r="HX3" s="4" t="str">
        <f t="shared" si="17"/>
        <v/>
      </c>
      <c r="HY3" s="4" t="str">
        <f t="shared" si="18"/>
        <v/>
      </c>
      <c r="HZ3" s="4" t="str">
        <f t="shared" si="19"/>
        <v/>
      </c>
      <c r="IA3" s="4" t="str">
        <f t="shared" si="20"/>
        <v/>
      </c>
      <c r="IB3" s="4" t="str">
        <f t="shared" si="21"/>
        <v/>
      </c>
      <c r="IC3" s="4" t="str">
        <f t="shared" si="22"/>
        <v/>
      </c>
      <c r="ID3" s="4" t="str">
        <f t="shared" si="23"/>
        <v/>
      </c>
      <c r="IE3" s="4" t="str">
        <f t="shared" si="24"/>
        <v/>
      </c>
      <c r="IF3" s="4" t="str">
        <f t="shared" si="25"/>
        <v/>
      </c>
      <c r="IG3" s="4" t="str">
        <f t="shared" si="26"/>
        <v/>
      </c>
      <c r="IH3" s="4" t="str">
        <f t="shared" si="27"/>
        <v/>
      </c>
      <c r="II3" s="4" t="str">
        <f t="shared" si="28"/>
        <v/>
      </c>
      <c r="IJ3" s="4" t="str">
        <f t="shared" si="29"/>
        <v/>
      </c>
      <c r="IK3" s="4" t="str">
        <f t="shared" si="30"/>
        <v/>
      </c>
      <c r="IL3" s="4" t="str">
        <f t="shared" si="31"/>
        <v/>
      </c>
      <c r="IM3" s="4" t="str">
        <f t="shared" si="32"/>
        <v/>
      </c>
      <c r="IN3" s="4" t="str">
        <f t="shared" si="33"/>
        <v/>
      </c>
      <c r="IO3" s="4" t="str">
        <f t="shared" si="34"/>
        <v/>
      </c>
      <c r="IP3" s="4" t="str">
        <f t="shared" si="35"/>
        <v/>
      </c>
      <c r="IQ3" s="4" t="str">
        <f t="shared" si="36"/>
        <v/>
      </c>
      <c r="IR3" s="4" t="str">
        <f t="shared" si="37"/>
        <v/>
      </c>
      <c r="IS3" s="4" t="str">
        <f t="shared" si="38"/>
        <v/>
      </c>
      <c r="IT3" s="4" t="str">
        <f t="shared" si="39"/>
        <v/>
      </c>
      <c r="IU3" s="4" t="str">
        <f t="shared" si="40"/>
        <v/>
      </c>
      <c r="IV3" s="4" t="str">
        <f t="shared" si="41"/>
        <v/>
      </c>
      <c r="IW3" s="4" t="str">
        <f t="shared" si="42"/>
        <v/>
      </c>
      <c r="IX3" s="4" t="str">
        <f t="shared" si="43"/>
        <v/>
      </c>
      <c r="IY3" s="4" t="str">
        <f t="shared" si="44"/>
        <v/>
      </c>
      <c r="IZ3" s="4" t="str">
        <f t="shared" si="45"/>
        <v/>
      </c>
      <c r="JA3" s="4" t="str">
        <f t="shared" ref="JA3:JB3" si="46">if(ISERROR(SEARCH("Higher Education",BB3)),"","810")</f>
        <v/>
      </c>
      <c r="JB3" s="4" t="str">
        <f t="shared" si="46"/>
        <v/>
      </c>
      <c r="JC3" s="4" t="str">
        <f t="shared" si="47"/>
        <v/>
      </c>
      <c r="JD3" s="4" t="str">
        <f t="shared" si="48"/>
        <v/>
      </c>
      <c r="JE3" s="4" t="str">
        <f t="shared" si="49"/>
        <v/>
      </c>
      <c r="JF3" s="4" t="str">
        <f t="shared" si="50"/>
        <v/>
      </c>
      <c r="JG3" s="4" t="str">
        <f t="shared" si="51"/>
        <v/>
      </c>
      <c r="JH3" s="4" t="str">
        <f t="shared" si="52"/>
        <v/>
      </c>
      <c r="JI3" s="4" t="str">
        <f t="shared" si="53"/>
        <v/>
      </c>
      <c r="JJ3" s="4" t="str">
        <f t="shared" si="54"/>
        <v/>
      </c>
      <c r="JK3" s="4" t="str">
        <f t="shared" si="55"/>
        <v/>
      </c>
      <c r="JL3" s="4" t="str">
        <f t="shared" si="56"/>
        <v/>
      </c>
      <c r="JM3" s="4" t="str">
        <f t="shared" si="57"/>
        <v/>
      </c>
      <c r="JN3" s="4" t="str">
        <f t="shared" si="58"/>
        <v/>
      </c>
      <c r="JO3" s="4" t="str">
        <f t="shared" si="59"/>
        <v/>
      </c>
      <c r="JP3" s="4" t="str">
        <f t="shared" si="60"/>
        <v/>
      </c>
      <c r="JQ3" s="4" t="str">
        <f t="shared" si="61"/>
        <v/>
      </c>
      <c r="JR3" s="4" t="str">
        <f t="shared" si="62"/>
        <v/>
      </c>
      <c r="JS3" s="4" t="str">
        <f t="shared" si="63"/>
        <v/>
      </c>
      <c r="JT3" s="4" t="str">
        <f t="shared" si="64"/>
        <v/>
      </c>
      <c r="JU3" s="4" t="str">
        <f t="shared" si="65"/>
        <v/>
      </c>
      <c r="JV3" s="4" t="str">
        <f t="shared" si="66"/>
        <v/>
      </c>
      <c r="JW3" s="4" t="str">
        <f t="shared" si="67"/>
        <v/>
      </c>
      <c r="JX3" s="4" t="str">
        <f t="shared" si="68"/>
        <v/>
      </c>
      <c r="JY3" s="4" t="str">
        <f t="shared" si="69"/>
        <v/>
      </c>
      <c r="JZ3" s="4" t="str">
        <f t="shared" si="70"/>
        <v/>
      </c>
      <c r="KA3" s="4" t="str">
        <f t="shared" si="71"/>
        <v/>
      </c>
      <c r="KB3" s="4" t="str">
        <f t="shared" si="72"/>
        <v/>
      </c>
      <c r="KC3" s="4" t="str">
        <f t="shared" si="73"/>
        <v/>
      </c>
      <c r="KD3" s="4" t="str">
        <f t="shared" si="74"/>
        <v/>
      </c>
      <c r="KE3" s="4" t="str">
        <f t="shared" si="75"/>
        <v/>
      </c>
      <c r="KF3" s="4" t="str">
        <f t="shared" si="76"/>
        <v/>
      </c>
      <c r="KG3" s="4" t="str">
        <f t="shared" si="77"/>
        <v/>
      </c>
      <c r="KH3" s="4" t="str">
        <f t="shared" si="78"/>
        <v/>
      </c>
      <c r="KI3" s="4" t="str">
        <f t="shared" si="79"/>
        <v/>
      </c>
      <c r="KJ3" s="4" t="str">
        <f t="shared" si="80"/>
        <v/>
      </c>
      <c r="KK3" s="4" t="str">
        <f t="shared" si="81"/>
        <v/>
      </c>
      <c r="KL3" s="4" t="str">
        <f t="shared" si="82"/>
        <v/>
      </c>
      <c r="KM3" s="4" t="str">
        <f t="shared" si="83"/>
        <v/>
      </c>
      <c r="KN3" s="4" t="str">
        <f t="shared" si="84"/>
        <v/>
      </c>
      <c r="KO3" s="4" t="str">
        <f t="shared" si="85"/>
        <v/>
      </c>
      <c r="KP3" s="4" t="str">
        <f t="shared" si="86"/>
        <v/>
      </c>
      <c r="KQ3" s="4" t="str">
        <f t="shared" si="87"/>
        <v/>
      </c>
      <c r="KR3" s="4" t="str">
        <f t="shared" si="88"/>
        <v/>
      </c>
      <c r="KS3" s="4" t="str">
        <f t="shared" si="89"/>
        <v/>
      </c>
      <c r="KT3" s="4" t="str">
        <f t="shared" si="90"/>
        <v/>
      </c>
      <c r="KU3" s="4" t="str">
        <f t="shared" si="91"/>
        <v/>
      </c>
      <c r="KV3" s="4" t="str">
        <f t="shared" si="92"/>
        <v/>
      </c>
      <c r="KW3" s="4" t="str">
        <f t="shared" si="93"/>
        <v/>
      </c>
      <c r="KX3" s="4" t="str">
        <f t="shared" si="94"/>
        <v/>
      </c>
      <c r="KY3" s="4" t="str">
        <f t="shared" si="95"/>
        <v/>
      </c>
      <c r="KZ3" s="4" t="str">
        <f t="shared" si="96"/>
        <v/>
      </c>
      <c r="LA3" s="4" t="str">
        <f t="shared" si="97"/>
        <v/>
      </c>
      <c r="LB3" s="4" t="str">
        <f t="shared" si="98"/>
        <v/>
      </c>
      <c r="LC3" s="4" t="str">
        <f t="shared" si="99"/>
        <v/>
      </c>
      <c r="LD3" s="4" t="str">
        <f t="shared" si="100"/>
        <v/>
      </c>
      <c r="LE3" s="4" t="str">
        <f t="shared" si="101"/>
        <v/>
      </c>
      <c r="LF3" s="4" t="str">
        <f t="shared" si="102"/>
        <v/>
      </c>
      <c r="LG3" s="4" t="str">
        <f t="shared" si="103"/>
        <v/>
      </c>
      <c r="LH3" s="4" t="str">
        <f t="shared" si="104"/>
        <v/>
      </c>
      <c r="LI3" s="4" t="str">
        <f t="shared" si="105"/>
        <v/>
      </c>
      <c r="LJ3" s="4" t="str">
        <f t="shared" si="106"/>
        <v/>
      </c>
      <c r="LK3" s="4" t="str">
        <f t="shared" si="107"/>
        <v/>
      </c>
      <c r="LL3" s="4" t="str">
        <f t="shared" si="108"/>
        <v/>
      </c>
      <c r="LM3" s="4" t="str">
        <f t="shared" si="109"/>
        <v/>
      </c>
      <c r="LN3" s="4" t="str">
        <f t="shared" si="110"/>
        <v/>
      </c>
      <c r="LO3" s="4" t="str">
        <f t="shared" si="111"/>
        <v/>
      </c>
      <c r="LP3" s="4" t="str">
        <f t="shared" si="112"/>
        <v/>
      </c>
      <c r="LQ3" s="4" t="str">
        <f t="shared" si="113"/>
        <v/>
      </c>
      <c r="LR3" s="4" t="str">
        <f t="shared" si="114"/>
        <v/>
      </c>
      <c r="LS3" s="4" t="str">
        <f t="shared" si="115"/>
        <v/>
      </c>
      <c r="LT3" s="4" t="str">
        <f t="shared" si="116"/>
        <v/>
      </c>
      <c r="LU3" s="4" t="str">
        <f t="shared" si="117"/>
        <v/>
      </c>
      <c r="LV3" s="4" t="str">
        <f t="shared" si="118"/>
        <v/>
      </c>
      <c r="LW3" s="4" t="str">
        <f t="shared" si="119"/>
        <v/>
      </c>
      <c r="LX3" s="4" t="str">
        <f t="shared" si="120"/>
        <v/>
      </c>
      <c r="LY3" s="4" t="str">
        <f t="shared" si="121"/>
        <v/>
      </c>
      <c r="LZ3" s="4" t="str">
        <f t="shared" si="122"/>
        <v/>
      </c>
      <c r="MA3" s="4" t="str">
        <f t="shared" si="123"/>
        <v/>
      </c>
      <c r="MB3" s="4" t="str">
        <f t="shared" si="124"/>
        <v/>
      </c>
      <c r="MC3" s="4" t="str">
        <f t="shared" si="125"/>
        <v/>
      </c>
      <c r="MD3" s="4" t="str">
        <f t="shared" si="126"/>
        <v/>
      </c>
      <c r="ME3" s="4" t="str">
        <f t="shared" si="127"/>
        <v/>
      </c>
      <c r="MF3" s="4" t="str">
        <f t="shared" si="128"/>
        <v/>
      </c>
      <c r="MG3" s="4" t="str">
        <f t="shared" si="129"/>
        <v/>
      </c>
      <c r="MH3" s="4" t="str">
        <f t="shared" si="130"/>
        <v/>
      </c>
      <c r="MI3" s="4" t="str">
        <f t="shared" si="131"/>
        <v/>
      </c>
      <c r="MJ3" s="4" t="str">
        <f t="shared" si="132"/>
        <v/>
      </c>
      <c r="MK3" s="4" t="str">
        <f t="shared" si="133"/>
        <v/>
      </c>
      <c r="ML3" s="4" t="str">
        <f t="shared" si="134"/>
        <v/>
      </c>
      <c r="MM3" s="4" t="str">
        <f t="shared" si="135"/>
        <v/>
      </c>
      <c r="MN3" s="4" t="str">
        <f t="shared" si="136"/>
        <v/>
      </c>
      <c r="MO3" s="4" t="str">
        <f t="shared" si="137"/>
        <v/>
      </c>
      <c r="MP3" s="4" t="str">
        <f t="shared" si="138"/>
        <v/>
      </c>
      <c r="MQ3" s="4" t="str">
        <f t="shared" si="139"/>
        <v/>
      </c>
      <c r="MR3" s="4" t="str">
        <f t="shared" si="140"/>
        <v/>
      </c>
      <c r="MS3" s="4" t="str">
        <f t="shared" si="141"/>
        <v/>
      </c>
      <c r="MT3" s="4" t="str">
        <f t="shared" si="142"/>
        <v/>
      </c>
      <c r="MU3" s="4" t="str">
        <f t="shared" si="143"/>
        <v/>
      </c>
      <c r="MV3" s="4" t="str">
        <f t="shared" si="144"/>
        <v/>
      </c>
      <c r="MW3" s="4" t="str">
        <f t="shared" si="145"/>
        <v/>
      </c>
      <c r="MX3" s="4" t="str">
        <f t="shared" si="146"/>
        <v/>
      </c>
      <c r="MY3" s="4" t="str">
        <f t="shared" si="147"/>
        <v/>
      </c>
      <c r="MZ3" s="4" t="str">
        <f t="shared" si="148"/>
        <v/>
      </c>
      <c r="NA3" s="4" t="str">
        <f t="shared" si="149"/>
        <v/>
      </c>
      <c r="NB3" s="4" t="str">
        <f t="shared" si="150"/>
        <v/>
      </c>
      <c r="NC3" s="4" t="str">
        <f t="shared" si="151"/>
        <v/>
      </c>
      <c r="ND3" s="4" t="str">
        <f t="shared" si="152"/>
        <v/>
      </c>
      <c r="NE3" s="4" t="str">
        <f t="shared" si="153"/>
        <v/>
      </c>
      <c r="NF3" s="4" t="str">
        <f t="shared" si="154"/>
        <v/>
      </c>
      <c r="NG3" s="4" t="str">
        <f t="shared" si="155"/>
        <v/>
      </c>
      <c r="NH3" s="4" t="str">
        <f t="shared" si="156"/>
        <v/>
      </c>
      <c r="NI3" s="4" t="str">
        <f t="shared" si="157"/>
        <v/>
      </c>
      <c r="NJ3" s="4" t="str">
        <f t="shared" si="158"/>
        <v/>
      </c>
      <c r="NK3" s="4" t="str">
        <f t="shared" si="159"/>
        <v/>
      </c>
      <c r="NL3" s="4" t="str">
        <f t="shared" si="160"/>
        <v/>
      </c>
      <c r="NM3" s="4" t="str">
        <f t="shared" si="161"/>
        <v/>
      </c>
      <c r="NN3" s="4" t="str">
        <f t="shared" si="162"/>
        <v/>
      </c>
      <c r="NO3" s="4" t="str">
        <f t="shared" si="163"/>
        <v/>
      </c>
      <c r="NP3" s="4" t="str">
        <f t="shared" si="164"/>
        <v/>
      </c>
      <c r="NQ3" s="4" t="str">
        <f t="shared" si="165"/>
        <v/>
      </c>
      <c r="NR3" s="4" t="str">
        <f t="shared" si="166"/>
        <v/>
      </c>
      <c r="NS3" s="4" t="str">
        <f t="shared" si="167"/>
        <v/>
      </c>
      <c r="NT3" s="4" t="str">
        <f t="shared" si="168"/>
        <v/>
      </c>
      <c r="NU3" s="4" t="str">
        <f t="shared" si="169"/>
        <v/>
      </c>
      <c r="NV3" s="4" t="str">
        <f t="shared" si="170"/>
        <v/>
      </c>
      <c r="NW3" s="4" t="str">
        <f t="shared" si="171"/>
        <v/>
      </c>
      <c r="NX3" s="4" t="str">
        <f t="shared" si="172"/>
        <v/>
      </c>
      <c r="NY3" s="4" t="str">
        <f t="shared" si="173"/>
        <v/>
      </c>
      <c r="NZ3" s="4" t="str">
        <f t="shared" si="174"/>
        <v/>
      </c>
      <c r="OA3" s="4" t="str">
        <f t="shared" si="175"/>
        <v/>
      </c>
      <c r="OB3" s="4" t="str">
        <f t="shared" si="176"/>
        <v/>
      </c>
      <c r="OC3" s="4" t="str">
        <f t="shared" si="177"/>
        <v/>
      </c>
      <c r="OD3" s="4" t="str">
        <f t="shared" si="178"/>
        <v/>
      </c>
      <c r="OE3" s="4" t="str">
        <f t="shared" si="179"/>
        <v/>
      </c>
      <c r="OF3" s="4" t="str">
        <f t="shared" si="180"/>
        <v/>
      </c>
      <c r="OG3" s="4" t="str">
        <f t="shared" si="181"/>
        <v/>
      </c>
      <c r="OH3" s="4" t="str">
        <f t="shared" si="182"/>
        <v/>
      </c>
      <c r="OI3" s="4" t="str">
        <f t="shared" si="183"/>
        <v/>
      </c>
      <c r="OJ3" s="4" t="str">
        <f t="shared" si="184"/>
        <v/>
      </c>
      <c r="OK3" s="4" t="str">
        <f t="shared" si="185"/>
        <v/>
      </c>
      <c r="OL3" s="4" t="str">
        <f t="shared" si="186"/>
        <v/>
      </c>
      <c r="OM3" s="4" t="str">
        <f t="shared" si="187"/>
        <v/>
      </c>
      <c r="ON3" s="4" t="str">
        <f t="shared" si="188"/>
        <v/>
      </c>
      <c r="OO3" s="4" t="str">
        <f t="shared" si="189"/>
        <v/>
      </c>
      <c r="OP3" s="4" t="str">
        <f t="shared" si="190"/>
        <v/>
      </c>
      <c r="OQ3" s="4" t="str">
        <f t="shared" si="191"/>
        <v/>
      </c>
      <c r="OR3" s="4" t="str">
        <f t="shared" si="192"/>
        <v/>
      </c>
      <c r="OS3" s="4" t="str">
        <f t="shared" si="193"/>
        <v/>
      </c>
      <c r="OT3" s="4" t="str">
        <f t="shared" si="194"/>
        <v/>
      </c>
      <c r="OU3" s="4" t="str">
        <f t="shared" si="195"/>
        <v/>
      </c>
      <c r="OV3" s="4" t="str">
        <f t="shared" si="196"/>
        <v/>
      </c>
      <c r="OW3" s="4" t="str">
        <f t="shared" si="197"/>
        <v/>
      </c>
      <c r="OX3" s="4" t="str">
        <f t="shared" si="198"/>
        <v/>
      </c>
      <c r="OY3" s="4" t="str">
        <f t="shared" si="199"/>
        <v/>
      </c>
      <c r="OZ3" s="4" t="str">
        <f t="shared" si="200"/>
        <v/>
      </c>
      <c r="PA3" s="4" t="str">
        <f t="shared" si="201"/>
        <v/>
      </c>
      <c r="PB3" s="4" t="str">
        <f t="shared" si="202"/>
        <v/>
      </c>
      <c r="PC3" s="4" t="str">
        <f t="shared" si="203"/>
        <v/>
      </c>
      <c r="PD3" s="4" t="str">
        <f t="shared" si="204"/>
        <v/>
      </c>
      <c r="PE3" s="4" t="str">
        <f t="shared" si="205"/>
        <v/>
      </c>
      <c r="PF3" s="4" t="str">
        <f t="shared" si="206"/>
        <v/>
      </c>
      <c r="PG3" s="4" t="str">
        <f t="shared" si="207"/>
        <v/>
      </c>
      <c r="PH3" s="4" t="str">
        <f t="shared" si="208"/>
        <v/>
      </c>
      <c r="PI3" s="4" t="str">
        <f t="shared" si="209"/>
        <v/>
      </c>
      <c r="PJ3" s="4" t="str">
        <f t="shared" si="210"/>
        <v/>
      </c>
      <c r="PK3" s="4" t="str">
        <f t="shared" si="211"/>
        <v/>
      </c>
      <c r="PL3" s="4" t="str">
        <f t="shared" si="212"/>
        <v/>
      </c>
      <c r="PM3" s="4" t="str">
        <f t="shared" si="213"/>
        <v/>
      </c>
      <c r="PN3" s="4" t="str">
        <f t="shared" si="214"/>
        <v/>
      </c>
      <c r="PO3" s="4" t="str">
        <f t="shared" si="215"/>
        <v/>
      </c>
      <c r="PP3" s="4" t="str">
        <f t="shared" si="216"/>
        <v/>
      </c>
      <c r="PQ3" s="4" t="str">
        <f t="shared" si="217"/>
        <v/>
      </c>
      <c r="PR3" s="4" t="str">
        <f t="shared" si="218"/>
        <v/>
      </c>
      <c r="PS3" s="4" t="str">
        <f t="shared" si="219"/>
        <v/>
      </c>
    </row>
    <row r="4">
      <c r="HI4" s="4" t="str">
        <f t="shared" si="2"/>
        <v/>
      </c>
      <c r="HJ4" s="4" t="str">
        <f t="shared" si="3"/>
        <v/>
      </c>
      <c r="HK4" s="4" t="str">
        <f t="shared" si="4"/>
        <v/>
      </c>
      <c r="HL4" s="4" t="str">
        <f t="shared" si="5"/>
        <v/>
      </c>
      <c r="HM4" s="4" t="str">
        <f t="shared" si="6"/>
        <v/>
      </c>
      <c r="HN4" s="4" t="str">
        <f t="shared" si="7"/>
        <v/>
      </c>
      <c r="HO4" s="4" t="str">
        <f t="shared" si="8"/>
        <v/>
      </c>
      <c r="HP4" s="4" t="str">
        <f t="shared" si="9"/>
        <v/>
      </c>
      <c r="HQ4" s="4" t="str">
        <f t="shared" si="10"/>
        <v/>
      </c>
      <c r="HR4" s="4" t="str">
        <f t="shared" si="11"/>
        <v/>
      </c>
      <c r="HS4" s="4" t="str">
        <f t="shared" si="12"/>
        <v/>
      </c>
      <c r="HT4" s="4" t="str">
        <f t="shared" si="13"/>
        <v/>
      </c>
      <c r="HU4" s="4" t="str">
        <f t="shared" si="14"/>
        <v/>
      </c>
      <c r="HV4" s="4" t="str">
        <f t="shared" si="15"/>
        <v/>
      </c>
      <c r="HW4" s="4" t="str">
        <f t="shared" si="16"/>
        <v/>
      </c>
      <c r="HX4" s="4" t="str">
        <f t="shared" si="17"/>
        <v/>
      </c>
      <c r="HY4" s="4" t="str">
        <f t="shared" si="18"/>
        <v/>
      </c>
      <c r="HZ4" s="4" t="str">
        <f t="shared" si="19"/>
        <v/>
      </c>
      <c r="IA4" s="4" t="str">
        <f t="shared" si="20"/>
        <v/>
      </c>
      <c r="IB4" s="4" t="str">
        <f t="shared" si="21"/>
        <v/>
      </c>
      <c r="IC4" s="4" t="str">
        <f t="shared" si="22"/>
        <v/>
      </c>
      <c r="ID4" s="4" t="str">
        <f t="shared" si="23"/>
        <v/>
      </c>
      <c r="IE4" s="4" t="str">
        <f t="shared" si="24"/>
        <v/>
      </c>
      <c r="IF4" s="4" t="str">
        <f t="shared" si="25"/>
        <v/>
      </c>
      <c r="IG4" s="4" t="str">
        <f t="shared" si="26"/>
        <v/>
      </c>
      <c r="IH4" s="4" t="str">
        <f t="shared" si="27"/>
        <v/>
      </c>
      <c r="II4" s="4" t="str">
        <f t="shared" si="28"/>
        <v/>
      </c>
      <c r="IJ4" s="4" t="str">
        <f t="shared" si="29"/>
        <v/>
      </c>
      <c r="IK4" s="4" t="str">
        <f t="shared" si="30"/>
        <v/>
      </c>
      <c r="IL4" s="4" t="str">
        <f t="shared" si="31"/>
        <v/>
      </c>
      <c r="IM4" s="4" t="str">
        <f t="shared" si="32"/>
        <v/>
      </c>
      <c r="IN4" s="4" t="str">
        <f t="shared" si="33"/>
        <v/>
      </c>
      <c r="IO4" s="4" t="str">
        <f t="shared" si="34"/>
        <v/>
      </c>
      <c r="IP4" s="4" t="str">
        <f t="shared" si="35"/>
        <v/>
      </c>
      <c r="IQ4" s="4" t="str">
        <f t="shared" si="36"/>
        <v/>
      </c>
      <c r="IR4" s="4" t="str">
        <f t="shared" si="37"/>
        <v/>
      </c>
      <c r="IS4" s="4" t="str">
        <f t="shared" si="38"/>
        <v/>
      </c>
      <c r="IT4" s="4" t="str">
        <f t="shared" si="39"/>
        <v/>
      </c>
      <c r="IU4" s="4" t="str">
        <f t="shared" si="40"/>
        <v/>
      </c>
      <c r="IV4" s="4" t="str">
        <f t="shared" si="41"/>
        <v/>
      </c>
      <c r="IW4" s="4" t="str">
        <f t="shared" si="42"/>
        <v/>
      </c>
      <c r="IX4" s="4" t="str">
        <f t="shared" si="43"/>
        <v/>
      </c>
      <c r="IY4" s="4" t="str">
        <f t="shared" si="44"/>
        <v/>
      </c>
      <c r="IZ4" s="4" t="str">
        <f t="shared" si="45"/>
        <v/>
      </c>
      <c r="JA4" s="4" t="str">
        <f t="shared" ref="JA4:JB4" si="220">if(ISERROR(SEARCH("Higher Education",BB4)),"","810")</f>
        <v/>
      </c>
      <c r="JB4" s="4" t="str">
        <f t="shared" si="220"/>
        <v/>
      </c>
      <c r="JC4" s="4" t="str">
        <f t="shared" si="47"/>
        <v/>
      </c>
      <c r="JD4" s="4" t="str">
        <f t="shared" si="48"/>
        <v/>
      </c>
      <c r="JE4" s="4" t="str">
        <f t="shared" si="49"/>
        <v/>
      </c>
      <c r="JF4" s="4" t="str">
        <f t="shared" si="50"/>
        <v/>
      </c>
      <c r="JG4" s="4" t="str">
        <f t="shared" si="51"/>
        <v/>
      </c>
      <c r="JH4" s="4" t="str">
        <f t="shared" si="52"/>
        <v/>
      </c>
      <c r="JI4" s="4" t="str">
        <f t="shared" si="53"/>
        <v/>
      </c>
      <c r="JJ4" s="4" t="str">
        <f t="shared" si="54"/>
        <v/>
      </c>
      <c r="JK4" s="4" t="str">
        <f t="shared" si="55"/>
        <v/>
      </c>
      <c r="JL4" s="4" t="str">
        <f t="shared" si="56"/>
        <v/>
      </c>
      <c r="JM4" s="4" t="str">
        <f t="shared" si="57"/>
        <v/>
      </c>
      <c r="JN4" s="4" t="str">
        <f t="shared" si="58"/>
        <v/>
      </c>
      <c r="JO4" s="4" t="str">
        <f t="shared" si="59"/>
        <v/>
      </c>
      <c r="JP4" s="4" t="str">
        <f t="shared" si="60"/>
        <v/>
      </c>
      <c r="JQ4" s="4" t="str">
        <f t="shared" si="61"/>
        <v/>
      </c>
      <c r="JR4" s="4" t="str">
        <f t="shared" si="62"/>
        <v/>
      </c>
      <c r="JS4" s="4" t="str">
        <f t="shared" si="63"/>
        <v/>
      </c>
      <c r="JT4" s="4" t="str">
        <f t="shared" si="64"/>
        <v/>
      </c>
      <c r="JU4" s="4" t="str">
        <f t="shared" si="65"/>
        <v/>
      </c>
      <c r="JV4" s="4" t="str">
        <f t="shared" si="66"/>
        <v/>
      </c>
      <c r="JW4" s="4" t="str">
        <f t="shared" si="67"/>
        <v/>
      </c>
      <c r="JX4" s="4" t="str">
        <f t="shared" si="68"/>
        <v/>
      </c>
      <c r="JY4" s="4" t="str">
        <f t="shared" si="69"/>
        <v/>
      </c>
      <c r="JZ4" s="4" t="str">
        <f t="shared" si="70"/>
        <v/>
      </c>
      <c r="KA4" s="4" t="str">
        <f t="shared" si="71"/>
        <v/>
      </c>
      <c r="KB4" s="4" t="str">
        <f t="shared" si="72"/>
        <v/>
      </c>
      <c r="KC4" s="4" t="str">
        <f t="shared" si="73"/>
        <v/>
      </c>
      <c r="KD4" s="4" t="str">
        <f t="shared" si="74"/>
        <v/>
      </c>
      <c r="KE4" s="4" t="str">
        <f t="shared" si="75"/>
        <v/>
      </c>
      <c r="KF4" s="4" t="str">
        <f t="shared" si="76"/>
        <v/>
      </c>
      <c r="KG4" s="4" t="str">
        <f t="shared" si="77"/>
        <v/>
      </c>
      <c r="KH4" s="4" t="str">
        <f t="shared" si="78"/>
        <v/>
      </c>
      <c r="KI4" s="4" t="str">
        <f t="shared" si="79"/>
        <v/>
      </c>
      <c r="KJ4" s="4" t="str">
        <f t="shared" si="80"/>
        <v/>
      </c>
      <c r="KK4" s="4" t="str">
        <f t="shared" si="81"/>
        <v/>
      </c>
      <c r="KL4" s="4" t="str">
        <f t="shared" si="82"/>
        <v/>
      </c>
      <c r="KM4" s="4" t="str">
        <f t="shared" si="83"/>
        <v/>
      </c>
      <c r="KN4" s="4" t="str">
        <f t="shared" si="84"/>
        <v/>
      </c>
      <c r="KO4" s="4" t="str">
        <f t="shared" si="85"/>
        <v/>
      </c>
      <c r="KP4" s="4" t="str">
        <f t="shared" si="86"/>
        <v/>
      </c>
      <c r="KQ4" s="4" t="str">
        <f t="shared" si="87"/>
        <v/>
      </c>
      <c r="KR4" s="4" t="str">
        <f t="shared" si="88"/>
        <v/>
      </c>
      <c r="KS4" s="4" t="str">
        <f t="shared" si="89"/>
        <v/>
      </c>
      <c r="KT4" s="4" t="str">
        <f t="shared" si="90"/>
        <v/>
      </c>
      <c r="KU4" s="4" t="str">
        <f t="shared" si="91"/>
        <v/>
      </c>
      <c r="KV4" s="4" t="str">
        <f t="shared" si="92"/>
        <v/>
      </c>
      <c r="KW4" s="4" t="str">
        <f t="shared" si="93"/>
        <v/>
      </c>
      <c r="KX4" s="4" t="str">
        <f t="shared" si="94"/>
        <v/>
      </c>
      <c r="KY4" s="4" t="str">
        <f t="shared" si="95"/>
        <v/>
      </c>
      <c r="KZ4" s="4" t="str">
        <f t="shared" si="96"/>
        <v/>
      </c>
      <c r="LA4" s="4" t="str">
        <f t="shared" si="97"/>
        <v/>
      </c>
      <c r="LB4" s="4" t="str">
        <f t="shared" si="98"/>
        <v/>
      </c>
      <c r="LC4" s="4" t="str">
        <f t="shared" si="99"/>
        <v/>
      </c>
      <c r="LD4" s="4" t="str">
        <f t="shared" si="100"/>
        <v/>
      </c>
      <c r="LE4" s="4" t="str">
        <f t="shared" si="101"/>
        <v/>
      </c>
      <c r="LF4" s="4" t="str">
        <f t="shared" si="102"/>
        <v/>
      </c>
      <c r="LG4" s="4" t="str">
        <f t="shared" si="103"/>
        <v/>
      </c>
      <c r="LH4" s="4" t="str">
        <f t="shared" si="104"/>
        <v/>
      </c>
      <c r="LI4" s="4" t="str">
        <f t="shared" si="105"/>
        <v/>
      </c>
      <c r="LJ4" s="4" t="str">
        <f t="shared" si="106"/>
        <v/>
      </c>
      <c r="LK4" s="4" t="str">
        <f t="shared" si="107"/>
        <v/>
      </c>
      <c r="LL4" s="4" t="str">
        <f t="shared" si="108"/>
        <v/>
      </c>
      <c r="LM4" s="4" t="str">
        <f t="shared" si="109"/>
        <v/>
      </c>
      <c r="LN4" s="4" t="str">
        <f t="shared" si="110"/>
        <v/>
      </c>
      <c r="LO4" s="4" t="str">
        <f t="shared" si="111"/>
        <v/>
      </c>
      <c r="LP4" s="4" t="str">
        <f t="shared" si="112"/>
        <v/>
      </c>
      <c r="LQ4" s="4" t="str">
        <f t="shared" si="113"/>
        <v/>
      </c>
      <c r="LR4" s="4" t="str">
        <f t="shared" si="114"/>
        <v/>
      </c>
      <c r="LS4" s="4" t="str">
        <f t="shared" si="115"/>
        <v/>
      </c>
      <c r="LT4" s="4" t="str">
        <f t="shared" si="116"/>
        <v/>
      </c>
      <c r="LU4" s="4" t="str">
        <f t="shared" si="117"/>
        <v/>
      </c>
      <c r="LV4" s="4" t="str">
        <f t="shared" si="118"/>
        <v/>
      </c>
      <c r="LW4" s="4" t="str">
        <f t="shared" si="119"/>
        <v/>
      </c>
      <c r="LX4" s="4" t="str">
        <f t="shared" si="120"/>
        <v/>
      </c>
      <c r="LY4" s="4" t="str">
        <f t="shared" si="121"/>
        <v/>
      </c>
      <c r="LZ4" s="4" t="str">
        <f t="shared" si="122"/>
        <v/>
      </c>
      <c r="MA4" s="4" t="str">
        <f t="shared" si="123"/>
        <v/>
      </c>
      <c r="MB4" s="4" t="str">
        <f t="shared" si="124"/>
        <v/>
      </c>
      <c r="MC4" s="4" t="str">
        <f t="shared" si="125"/>
        <v/>
      </c>
      <c r="MD4" s="4" t="str">
        <f t="shared" si="126"/>
        <v/>
      </c>
      <c r="ME4" s="4" t="str">
        <f t="shared" si="127"/>
        <v/>
      </c>
      <c r="MF4" s="4" t="str">
        <f t="shared" si="128"/>
        <v/>
      </c>
      <c r="MG4" s="4" t="str">
        <f t="shared" si="129"/>
        <v/>
      </c>
      <c r="MH4" s="4" t="str">
        <f t="shared" si="130"/>
        <v/>
      </c>
      <c r="MI4" s="4" t="str">
        <f t="shared" si="131"/>
        <v/>
      </c>
      <c r="MJ4" s="4" t="str">
        <f t="shared" si="132"/>
        <v/>
      </c>
      <c r="MK4" s="4" t="str">
        <f t="shared" si="133"/>
        <v/>
      </c>
      <c r="ML4" s="4" t="str">
        <f t="shared" si="134"/>
        <v/>
      </c>
      <c r="MM4" s="4" t="str">
        <f t="shared" si="135"/>
        <v/>
      </c>
      <c r="MN4" s="4" t="str">
        <f t="shared" si="136"/>
        <v/>
      </c>
      <c r="MO4" s="4" t="str">
        <f t="shared" si="137"/>
        <v/>
      </c>
      <c r="MP4" s="4" t="str">
        <f t="shared" si="138"/>
        <v/>
      </c>
      <c r="MQ4" s="4" t="str">
        <f t="shared" si="139"/>
        <v/>
      </c>
      <c r="MR4" s="4" t="str">
        <f t="shared" si="140"/>
        <v/>
      </c>
      <c r="MS4" s="4" t="str">
        <f t="shared" si="141"/>
        <v/>
      </c>
      <c r="MT4" s="4" t="str">
        <f t="shared" si="142"/>
        <v/>
      </c>
      <c r="MU4" s="4" t="str">
        <f t="shared" si="143"/>
        <v/>
      </c>
      <c r="MV4" s="4" t="str">
        <f t="shared" si="144"/>
        <v/>
      </c>
      <c r="MW4" s="4" t="str">
        <f t="shared" si="145"/>
        <v/>
      </c>
      <c r="MX4" s="4" t="str">
        <f t="shared" si="146"/>
        <v/>
      </c>
      <c r="MY4" s="4" t="str">
        <f t="shared" si="147"/>
        <v/>
      </c>
      <c r="MZ4" s="4" t="str">
        <f t="shared" si="148"/>
        <v/>
      </c>
      <c r="NA4" s="4" t="str">
        <f t="shared" si="149"/>
        <v/>
      </c>
      <c r="NB4" s="4" t="str">
        <f t="shared" si="150"/>
        <v/>
      </c>
      <c r="NC4" s="4" t="str">
        <f t="shared" si="151"/>
        <v/>
      </c>
      <c r="ND4" s="4" t="str">
        <f t="shared" si="152"/>
        <v/>
      </c>
      <c r="NE4" s="4" t="str">
        <f t="shared" si="153"/>
        <v/>
      </c>
      <c r="NF4" s="4" t="str">
        <f t="shared" si="154"/>
        <v/>
      </c>
      <c r="NG4" s="4" t="str">
        <f t="shared" si="155"/>
        <v/>
      </c>
      <c r="NH4" s="4" t="str">
        <f t="shared" si="156"/>
        <v/>
      </c>
      <c r="NI4" s="4" t="str">
        <f t="shared" si="157"/>
        <v/>
      </c>
      <c r="NJ4" s="4" t="str">
        <f t="shared" si="158"/>
        <v/>
      </c>
      <c r="NK4" s="4" t="str">
        <f t="shared" si="159"/>
        <v/>
      </c>
      <c r="NL4" s="4" t="str">
        <f t="shared" si="160"/>
        <v/>
      </c>
      <c r="NM4" s="4" t="str">
        <f t="shared" si="161"/>
        <v/>
      </c>
      <c r="NN4" s="4" t="str">
        <f t="shared" si="162"/>
        <v/>
      </c>
      <c r="NO4" s="4" t="str">
        <f t="shared" si="163"/>
        <v/>
      </c>
      <c r="NP4" s="4" t="str">
        <f t="shared" si="164"/>
        <v/>
      </c>
      <c r="NQ4" s="4" t="str">
        <f t="shared" si="165"/>
        <v/>
      </c>
      <c r="NR4" s="4" t="str">
        <f t="shared" si="166"/>
        <v/>
      </c>
      <c r="NS4" s="4" t="str">
        <f t="shared" si="167"/>
        <v/>
      </c>
      <c r="NT4" s="4" t="str">
        <f t="shared" si="168"/>
        <v/>
      </c>
      <c r="NU4" s="4" t="str">
        <f t="shared" si="169"/>
        <v/>
      </c>
      <c r="NV4" s="4" t="str">
        <f t="shared" si="170"/>
        <v/>
      </c>
      <c r="NW4" s="4" t="str">
        <f t="shared" si="171"/>
        <v/>
      </c>
      <c r="NX4" s="4" t="str">
        <f t="shared" si="172"/>
        <v/>
      </c>
      <c r="NY4" s="4" t="str">
        <f t="shared" si="173"/>
        <v/>
      </c>
      <c r="NZ4" s="4" t="str">
        <f t="shared" si="174"/>
        <v/>
      </c>
      <c r="OA4" s="4" t="str">
        <f t="shared" si="175"/>
        <v/>
      </c>
      <c r="OB4" s="4" t="str">
        <f t="shared" si="176"/>
        <v/>
      </c>
      <c r="OC4" s="4" t="str">
        <f t="shared" si="177"/>
        <v/>
      </c>
      <c r="OD4" s="4" t="str">
        <f t="shared" si="178"/>
        <v/>
      </c>
      <c r="OE4" s="4" t="str">
        <f t="shared" si="179"/>
        <v/>
      </c>
      <c r="OF4" s="4" t="str">
        <f t="shared" si="180"/>
        <v/>
      </c>
      <c r="OG4" s="4" t="str">
        <f t="shared" si="181"/>
        <v/>
      </c>
      <c r="OH4" s="4" t="str">
        <f t="shared" si="182"/>
        <v/>
      </c>
      <c r="OI4" s="4" t="str">
        <f t="shared" si="183"/>
        <v/>
      </c>
      <c r="OJ4" s="4" t="str">
        <f t="shared" si="184"/>
        <v/>
      </c>
      <c r="OK4" s="4" t="str">
        <f t="shared" si="185"/>
        <v/>
      </c>
      <c r="OL4" s="4" t="str">
        <f t="shared" si="186"/>
        <v/>
      </c>
      <c r="OM4" s="4" t="str">
        <f t="shared" si="187"/>
        <v/>
      </c>
      <c r="ON4" s="4" t="str">
        <f t="shared" si="188"/>
        <v/>
      </c>
      <c r="OO4" s="4" t="str">
        <f t="shared" si="189"/>
        <v/>
      </c>
      <c r="OP4" s="4" t="str">
        <f t="shared" si="190"/>
        <v/>
      </c>
      <c r="OQ4" s="4" t="str">
        <f t="shared" si="191"/>
        <v/>
      </c>
      <c r="OR4" s="4" t="str">
        <f t="shared" si="192"/>
        <v/>
      </c>
      <c r="OS4" s="4" t="str">
        <f t="shared" si="193"/>
        <v/>
      </c>
      <c r="OT4" s="4" t="str">
        <f t="shared" si="194"/>
        <v/>
      </c>
      <c r="OU4" s="4" t="str">
        <f t="shared" si="195"/>
        <v/>
      </c>
      <c r="OV4" s="4" t="str">
        <f t="shared" si="196"/>
        <v/>
      </c>
      <c r="OW4" s="4" t="str">
        <f t="shared" si="197"/>
        <v/>
      </c>
      <c r="OX4" s="4" t="str">
        <f t="shared" si="198"/>
        <v/>
      </c>
      <c r="OY4" s="4" t="str">
        <f t="shared" si="199"/>
        <v/>
      </c>
      <c r="OZ4" s="4" t="str">
        <f t="shared" si="200"/>
        <v/>
      </c>
      <c r="PA4" s="4" t="str">
        <f t="shared" si="201"/>
        <v/>
      </c>
      <c r="PB4" s="4" t="str">
        <f t="shared" si="202"/>
        <v/>
      </c>
      <c r="PC4" s="4" t="str">
        <f t="shared" si="203"/>
        <v/>
      </c>
      <c r="PD4" s="4" t="str">
        <f t="shared" si="204"/>
        <v/>
      </c>
      <c r="PE4" s="4" t="str">
        <f t="shared" si="205"/>
        <v/>
      </c>
      <c r="PF4" s="4" t="str">
        <f t="shared" si="206"/>
        <v/>
      </c>
      <c r="PG4" s="4" t="str">
        <f t="shared" si="207"/>
        <v/>
      </c>
      <c r="PH4" s="4" t="str">
        <f t="shared" si="208"/>
        <v/>
      </c>
      <c r="PI4" s="4" t="str">
        <f t="shared" si="209"/>
        <v/>
      </c>
      <c r="PJ4" s="4" t="str">
        <f t="shared" si="210"/>
        <v/>
      </c>
      <c r="PK4" s="4" t="str">
        <f t="shared" si="211"/>
        <v/>
      </c>
      <c r="PL4" s="4" t="str">
        <f t="shared" si="212"/>
        <v/>
      </c>
      <c r="PM4" s="4" t="str">
        <f t="shared" si="213"/>
        <v/>
      </c>
      <c r="PN4" s="4" t="str">
        <f t="shared" si="214"/>
        <v/>
      </c>
      <c r="PO4" s="4" t="str">
        <f t="shared" si="215"/>
        <v/>
      </c>
      <c r="PP4" s="4" t="str">
        <f t="shared" si="216"/>
        <v/>
      </c>
      <c r="PQ4" s="4" t="str">
        <f t="shared" si="217"/>
        <v/>
      </c>
      <c r="PR4" s="4" t="str">
        <f t="shared" si="218"/>
        <v/>
      </c>
      <c r="PS4" s="4" t="str">
        <f t="shared" si="219"/>
        <v/>
      </c>
    </row>
    <row r="5">
      <c r="HI5" s="4" t="str">
        <f t="shared" si="2"/>
        <v/>
      </c>
      <c r="HJ5" s="4" t="str">
        <f t="shared" si="3"/>
        <v/>
      </c>
      <c r="HK5" s="4" t="str">
        <f t="shared" si="4"/>
        <v/>
      </c>
      <c r="HL5" s="4" t="str">
        <f t="shared" si="5"/>
        <v/>
      </c>
      <c r="HM5" s="4" t="str">
        <f t="shared" si="6"/>
        <v/>
      </c>
      <c r="HN5" s="4" t="str">
        <f t="shared" si="7"/>
        <v/>
      </c>
      <c r="HO5" s="4" t="str">
        <f t="shared" si="8"/>
        <v/>
      </c>
      <c r="HP5" s="4" t="str">
        <f t="shared" si="9"/>
        <v/>
      </c>
      <c r="HQ5" s="4" t="str">
        <f t="shared" si="10"/>
        <v/>
      </c>
      <c r="HR5" s="4" t="str">
        <f t="shared" si="11"/>
        <v/>
      </c>
      <c r="HS5" s="4" t="str">
        <f t="shared" si="12"/>
        <v/>
      </c>
      <c r="HT5" s="4" t="str">
        <f t="shared" si="13"/>
        <v/>
      </c>
      <c r="HU5" s="4" t="str">
        <f t="shared" si="14"/>
        <v/>
      </c>
      <c r="HV5" s="4" t="str">
        <f t="shared" si="15"/>
        <v/>
      </c>
      <c r="HW5" s="4" t="str">
        <f t="shared" si="16"/>
        <v/>
      </c>
      <c r="HX5" s="4" t="str">
        <f t="shared" si="17"/>
        <v/>
      </c>
      <c r="HY5" s="4" t="str">
        <f t="shared" si="18"/>
        <v/>
      </c>
      <c r="HZ5" s="4" t="str">
        <f t="shared" si="19"/>
        <v/>
      </c>
      <c r="IA5" s="4" t="str">
        <f t="shared" si="20"/>
        <v/>
      </c>
      <c r="IB5" s="4" t="str">
        <f t="shared" si="21"/>
        <v/>
      </c>
      <c r="IC5" s="4" t="str">
        <f t="shared" si="22"/>
        <v/>
      </c>
      <c r="ID5" s="4" t="str">
        <f t="shared" si="23"/>
        <v/>
      </c>
      <c r="IE5" s="4" t="str">
        <f t="shared" si="24"/>
        <v/>
      </c>
      <c r="IF5" s="4" t="str">
        <f t="shared" si="25"/>
        <v/>
      </c>
      <c r="IG5" s="4" t="str">
        <f t="shared" si="26"/>
        <v/>
      </c>
      <c r="IH5" s="4" t="str">
        <f t="shared" si="27"/>
        <v/>
      </c>
      <c r="II5" s="4" t="str">
        <f t="shared" si="28"/>
        <v/>
      </c>
      <c r="IJ5" s="4" t="str">
        <f t="shared" si="29"/>
        <v/>
      </c>
      <c r="IK5" s="4" t="str">
        <f t="shared" si="30"/>
        <v/>
      </c>
      <c r="IL5" s="4" t="str">
        <f t="shared" si="31"/>
        <v/>
      </c>
      <c r="IM5" s="4" t="str">
        <f t="shared" si="32"/>
        <v/>
      </c>
      <c r="IN5" s="4" t="str">
        <f t="shared" si="33"/>
        <v/>
      </c>
      <c r="IO5" s="4" t="str">
        <f t="shared" si="34"/>
        <v/>
      </c>
      <c r="IP5" s="4" t="str">
        <f t="shared" si="35"/>
        <v/>
      </c>
      <c r="IQ5" s="4" t="str">
        <f t="shared" si="36"/>
        <v/>
      </c>
      <c r="IR5" s="4" t="str">
        <f t="shared" si="37"/>
        <v/>
      </c>
      <c r="IS5" s="4" t="str">
        <f t="shared" si="38"/>
        <v/>
      </c>
      <c r="IT5" s="4" t="str">
        <f t="shared" si="39"/>
        <v/>
      </c>
      <c r="IU5" s="4" t="str">
        <f t="shared" si="40"/>
        <v/>
      </c>
      <c r="IV5" s="4" t="str">
        <f t="shared" si="41"/>
        <v/>
      </c>
      <c r="IW5" s="4" t="str">
        <f t="shared" si="42"/>
        <v/>
      </c>
      <c r="IX5" s="4" t="str">
        <f t="shared" si="43"/>
        <v/>
      </c>
      <c r="IY5" s="4" t="str">
        <f t="shared" si="44"/>
        <v/>
      </c>
      <c r="IZ5" s="4" t="str">
        <f t="shared" si="45"/>
        <v/>
      </c>
      <c r="JA5" s="4" t="str">
        <f t="shared" ref="JA5:JB5" si="221">if(ISERROR(SEARCH("Higher Education",BB5)),"","810")</f>
        <v/>
      </c>
      <c r="JB5" s="4" t="str">
        <f t="shared" si="221"/>
        <v/>
      </c>
      <c r="JC5" s="4" t="str">
        <f t="shared" si="47"/>
        <v/>
      </c>
      <c r="JD5" s="4" t="str">
        <f t="shared" si="48"/>
        <v/>
      </c>
      <c r="JE5" s="4" t="str">
        <f t="shared" si="49"/>
        <v/>
      </c>
      <c r="JF5" s="4" t="str">
        <f t="shared" si="50"/>
        <v/>
      </c>
      <c r="JG5" s="4" t="str">
        <f t="shared" si="51"/>
        <v/>
      </c>
      <c r="JH5" s="4" t="str">
        <f t="shared" si="52"/>
        <v/>
      </c>
      <c r="JI5" s="4" t="str">
        <f t="shared" si="53"/>
        <v/>
      </c>
      <c r="JJ5" s="4" t="str">
        <f t="shared" si="54"/>
        <v/>
      </c>
      <c r="JK5" s="4" t="str">
        <f t="shared" si="55"/>
        <v/>
      </c>
      <c r="JL5" s="4" t="str">
        <f t="shared" si="56"/>
        <v/>
      </c>
      <c r="JM5" s="4" t="str">
        <f t="shared" si="57"/>
        <v/>
      </c>
      <c r="JN5" s="4" t="str">
        <f t="shared" si="58"/>
        <v/>
      </c>
      <c r="JO5" s="4" t="str">
        <f t="shared" si="59"/>
        <v/>
      </c>
      <c r="JP5" s="4" t="str">
        <f t="shared" si="60"/>
        <v/>
      </c>
      <c r="JQ5" s="4" t="str">
        <f t="shared" si="61"/>
        <v/>
      </c>
      <c r="JR5" s="4" t="str">
        <f t="shared" si="62"/>
        <v/>
      </c>
      <c r="JS5" s="4" t="str">
        <f t="shared" si="63"/>
        <v/>
      </c>
      <c r="JT5" s="4" t="str">
        <f t="shared" si="64"/>
        <v/>
      </c>
      <c r="JU5" s="4" t="str">
        <f t="shared" si="65"/>
        <v/>
      </c>
      <c r="JV5" s="4" t="str">
        <f t="shared" si="66"/>
        <v/>
      </c>
      <c r="JW5" s="4" t="str">
        <f t="shared" si="67"/>
        <v/>
      </c>
      <c r="JX5" s="4" t="str">
        <f t="shared" si="68"/>
        <v/>
      </c>
      <c r="JY5" s="4" t="str">
        <f t="shared" si="69"/>
        <v/>
      </c>
      <c r="JZ5" s="4" t="str">
        <f t="shared" si="70"/>
        <v/>
      </c>
      <c r="KA5" s="4" t="str">
        <f t="shared" si="71"/>
        <v/>
      </c>
      <c r="KB5" s="4" t="str">
        <f t="shared" si="72"/>
        <v/>
      </c>
      <c r="KC5" s="4" t="str">
        <f t="shared" si="73"/>
        <v/>
      </c>
      <c r="KD5" s="4" t="str">
        <f t="shared" si="74"/>
        <v/>
      </c>
      <c r="KE5" s="4" t="str">
        <f t="shared" si="75"/>
        <v/>
      </c>
      <c r="KF5" s="4" t="str">
        <f t="shared" si="76"/>
        <v/>
      </c>
      <c r="KG5" s="4" t="str">
        <f t="shared" si="77"/>
        <v/>
      </c>
      <c r="KH5" s="4" t="str">
        <f t="shared" si="78"/>
        <v/>
      </c>
      <c r="KI5" s="4" t="str">
        <f t="shared" si="79"/>
        <v/>
      </c>
      <c r="KJ5" s="4" t="str">
        <f t="shared" si="80"/>
        <v/>
      </c>
      <c r="KK5" s="4" t="str">
        <f t="shared" si="81"/>
        <v/>
      </c>
      <c r="KL5" s="4" t="str">
        <f t="shared" si="82"/>
        <v/>
      </c>
      <c r="KM5" s="4" t="str">
        <f t="shared" si="83"/>
        <v/>
      </c>
      <c r="KN5" s="4" t="str">
        <f t="shared" si="84"/>
        <v/>
      </c>
      <c r="KO5" s="4" t="str">
        <f t="shared" si="85"/>
        <v/>
      </c>
      <c r="KP5" s="4" t="str">
        <f t="shared" si="86"/>
        <v/>
      </c>
      <c r="KQ5" s="4" t="str">
        <f t="shared" si="87"/>
        <v/>
      </c>
      <c r="KR5" s="4" t="str">
        <f t="shared" si="88"/>
        <v/>
      </c>
      <c r="KS5" s="4" t="str">
        <f t="shared" si="89"/>
        <v/>
      </c>
      <c r="KT5" s="4" t="str">
        <f t="shared" si="90"/>
        <v/>
      </c>
      <c r="KU5" s="4" t="str">
        <f t="shared" si="91"/>
        <v/>
      </c>
      <c r="KV5" s="4" t="str">
        <f t="shared" si="92"/>
        <v/>
      </c>
      <c r="KW5" s="4" t="str">
        <f t="shared" si="93"/>
        <v/>
      </c>
      <c r="KX5" s="4" t="str">
        <f t="shared" si="94"/>
        <v/>
      </c>
      <c r="KY5" s="4" t="str">
        <f t="shared" si="95"/>
        <v/>
      </c>
      <c r="KZ5" s="4" t="str">
        <f t="shared" si="96"/>
        <v/>
      </c>
      <c r="LA5" s="4" t="str">
        <f t="shared" si="97"/>
        <v/>
      </c>
      <c r="LB5" s="4" t="str">
        <f t="shared" si="98"/>
        <v/>
      </c>
      <c r="LC5" s="4" t="str">
        <f t="shared" si="99"/>
        <v/>
      </c>
      <c r="LD5" s="4" t="str">
        <f t="shared" si="100"/>
        <v/>
      </c>
      <c r="LE5" s="4" t="str">
        <f t="shared" si="101"/>
        <v/>
      </c>
      <c r="LF5" s="4" t="str">
        <f t="shared" si="102"/>
        <v/>
      </c>
      <c r="LG5" s="4" t="str">
        <f t="shared" si="103"/>
        <v/>
      </c>
      <c r="LH5" s="4" t="str">
        <f t="shared" si="104"/>
        <v/>
      </c>
      <c r="LI5" s="4" t="str">
        <f t="shared" si="105"/>
        <v/>
      </c>
      <c r="LJ5" s="4" t="str">
        <f t="shared" si="106"/>
        <v/>
      </c>
      <c r="LK5" s="4" t="str">
        <f t="shared" si="107"/>
        <v/>
      </c>
      <c r="LL5" s="4" t="str">
        <f t="shared" si="108"/>
        <v/>
      </c>
      <c r="LM5" s="4" t="str">
        <f t="shared" si="109"/>
        <v/>
      </c>
      <c r="LN5" s="4" t="str">
        <f t="shared" si="110"/>
        <v/>
      </c>
      <c r="LO5" s="4" t="str">
        <f t="shared" si="111"/>
        <v/>
      </c>
      <c r="LP5" s="4" t="str">
        <f t="shared" si="112"/>
        <v/>
      </c>
      <c r="LQ5" s="4" t="str">
        <f t="shared" si="113"/>
        <v/>
      </c>
      <c r="LR5" s="4" t="str">
        <f t="shared" si="114"/>
        <v/>
      </c>
      <c r="LS5" s="4" t="str">
        <f t="shared" si="115"/>
        <v/>
      </c>
      <c r="LT5" s="4" t="str">
        <f t="shared" si="116"/>
        <v/>
      </c>
      <c r="LU5" s="4" t="str">
        <f t="shared" si="117"/>
        <v/>
      </c>
      <c r="LV5" s="4" t="str">
        <f t="shared" si="118"/>
        <v/>
      </c>
      <c r="LW5" s="4" t="str">
        <f t="shared" si="119"/>
        <v/>
      </c>
      <c r="LX5" s="4" t="str">
        <f t="shared" si="120"/>
        <v/>
      </c>
      <c r="LY5" s="4" t="str">
        <f t="shared" si="121"/>
        <v/>
      </c>
      <c r="LZ5" s="4" t="str">
        <f t="shared" si="122"/>
        <v/>
      </c>
      <c r="MA5" s="4" t="str">
        <f t="shared" si="123"/>
        <v/>
      </c>
      <c r="MB5" s="4" t="str">
        <f t="shared" si="124"/>
        <v/>
      </c>
      <c r="MC5" s="4" t="str">
        <f t="shared" si="125"/>
        <v/>
      </c>
      <c r="MD5" s="4" t="str">
        <f t="shared" si="126"/>
        <v/>
      </c>
      <c r="ME5" s="4" t="str">
        <f t="shared" si="127"/>
        <v/>
      </c>
      <c r="MF5" s="4" t="str">
        <f t="shared" si="128"/>
        <v/>
      </c>
      <c r="MG5" s="4" t="str">
        <f t="shared" si="129"/>
        <v/>
      </c>
      <c r="MH5" s="4" t="str">
        <f t="shared" si="130"/>
        <v/>
      </c>
      <c r="MI5" s="4" t="str">
        <f t="shared" si="131"/>
        <v/>
      </c>
      <c r="MJ5" s="4" t="str">
        <f t="shared" si="132"/>
        <v/>
      </c>
      <c r="MK5" s="4" t="str">
        <f t="shared" si="133"/>
        <v/>
      </c>
      <c r="ML5" s="4" t="str">
        <f t="shared" si="134"/>
        <v/>
      </c>
      <c r="MM5" s="4" t="str">
        <f t="shared" si="135"/>
        <v/>
      </c>
      <c r="MN5" s="4" t="str">
        <f t="shared" si="136"/>
        <v/>
      </c>
      <c r="MO5" s="4" t="str">
        <f t="shared" si="137"/>
        <v/>
      </c>
      <c r="MP5" s="4" t="str">
        <f t="shared" si="138"/>
        <v/>
      </c>
      <c r="MQ5" s="4" t="str">
        <f t="shared" si="139"/>
        <v/>
      </c>
      <c r="MR5" s="4" t="str">
        <f t="shared" si="140"/>
        <v/>
      </c>
      <c r="MS5" s="4" t="str">
        <f t="shared" si="141"/>
        <v/>
      </c>
      <c r="MT5" s="4" t="str">
        <f t="shared" si="142"/>
        <v/>
      </c>
      <c r="MU5" s="4" t="str">
        <f t="shared" si="143"/>
        <v/>
      </c>
      <c r="MV5" s="4" t="str">
        <f t="shared" si="144"/>
        <v/>
      </c>
      <c r="MW5" s="4" t="str">
        <f t="shared" si="145"/>
        <v/>
      </c>
      <c r="MX5" s="4" t="str">
        <f t="shared" si="146"/>
        <v/>
      </c>
      <c r="MY5" s="4" t="str">
        <f t="shared" si="147"/>
        <v/>
      </c>
      <c r="MZ5" s="4" t="str">
        <f t="shared" si="148"/>
        <v/>
      </c>
      <c r="NA5" s="4" t="str">
        <f t="shared" si="149"/>
        <v/>
      </c>
      <c r="NB5" s="4" t="str">
        <f t="shared" si="150"/>
        <v/>
      </c>
      <c r="NC5" s="4" t="str">
        <f t="shared" si="151"/>
        <v/>
      </c>
      <c r="ND5" s="4" t="str">
        <f t="shared" si="152"/>
        <v/>
      </c>
      <c r="NE5" s="4" t="str">
        <f t="shared" si="153"/>
        <v/>
      </c>
      <c r="NF5" s="4" t="str">
        <f t="shared" si="154"/>
        <v/>
      </c>
      <c r="NG5" s="4" t="str">
        <f t="shared" si="155"/>
        <v/>
      </c>
      <c r="NH5" s="4" t="str">
        <f t="shared" si="156"/>
        <v/>
      </c>
      <c r="NI5" s="4" t="str">
        <f t="shared" si="157"/>
        <v/>
      </c>
      <c r="NJ5" s="4" t="str">
        <f t="shared" si="158"/>
        <v/>
      </c>
      <c r="NK5" s="4" t="str">
        <f t="shared" si="159"/>
        <v/>
      </c>
      <c r="NL5" s="4" t="str">
        <f t="shared" si="160"/>
        <v/>
      </c>
      <c r="NM5" s="4" t="str">
        <f t="shared" si="161"/>
        <v/>
      </c>
      <c r="NN5" s="4" t="str">
        <f t="shared" si="162"/>
        <v/>
      </c>
      <c r="NO5" s="4" t="str">
        <f t="shared" si="163"/>
        <v/>
      </c>
      <c r="NP5" s="4" t="str">
        <f t="shared" si="164"/>
        <v/>
      </c>
      <c r="NQ5" s="4" t="str">
        <f t="shared" si="165"/>
        <v/>
      </c>
      <c r="NR5" s="4" t="str">
        <f t="shared" si="166"/>
        <v/>
      </c>
      <c r="NS5" s="4" t="str">
        <f t="shared" si="167"/>
        <v/>
      </c>
      <c r="NT5" s="4" t="str">
        <f t="shared" si="168"/>
        <v/>
      </c>
      <c r="NU5" s="4" t="str">
        <f t="shared" si="169"/>
        <v/>
      </c>
      <c r="NV5" s="4" t="str">
        <f t="shared" si="170"/>
        <v/>
      </c>
      <c r="NW5" s="4" t="str">
        <f t="shared" si="171"/>
        <v/>
      </c>
      <c r="NX5" s="4" t="str">
        <f t="shared" si="172"/>
        <v/>
      </c>
      <c r="NY5" s="4" t="str">
        <f t="shared" si="173"/>
        <v/>
      </c>
      <c r="NZ5" s="4" t="str">
        <f t="shared" si="174"/>
        <v/>
      </c>
      <c r="OA5" s="4" t="str">
        <f t="shared" si="175"/>
        <v/>
      </c>
      <c r="OB5" s="4" t="str">
        <f t="shared" si="176"/>
        <v/>
      </c>
      <c r="OC5" s="4" t="str">
        <f t="shared" si="177"/>
        <v/>
      </c>
      <c r="OD5" s="4" t="str">
        <f t="shared" si="178"/>
        <v/>
      </c>
      <c r="OE5" s="4" t="str">
        <f t="shared" si="179"/>
        <v/>
      </c>
      <c r="OF5" s="4" t="str">
        <f t="shared" si="180"/>
        <v/>
      </c>
      <c r="OG5" s="4" t="str">
        <f t="shared" si="181"/>
        <v/>
      </c>
      <c r="OH5" s="4" t="str">
        <f t="shared" si="182"/>
        <v/>
      </c>
      <c r="OI5" s="4" t="str">
        <f t="shared" si="183"/>
        <v/>
      </c>
      <c r="OJ5" s="4" t="str">
        <f t="shared" si="184"/>
        <v/>
      </c>
      <c r="OK5" s="4" t="str">
        <f t="shared" si="185"/>
        <v/>
      </c>
      <c r="OL5" s="4" t="str">
        <f t="shared" si="186"/>
        <v/>
      </c>
      <c r="OM5" s="4" t="str">
        <f t="shared" si="187"/>
        <v/>
      </c>
      <c r="ON5" s="4" t="str">
        <f t="shared" si="188"/>
        <v/>
      </c>
      <c r="OO5" s="4" t="str">
        <f t="shared" si="189"/>
        <v/>
      </c>
      <c r="OP5" s="4" t="str">
        <f t="shared" si="190"/>
        <v/>
      </c>
      <c r="OQ5" s="4" t="str">
        <f t="shared" si="191"/>
        <v/>
      </c>
      <c r="OR5" s="4" t="str">
        <f t="shared" si="192"/>
        <v/>
      </c>
      <c r="OS5" s="4" t="str">
        <f t="shared" si="193"/>
        <v/>
      </c>
      <c r="OT5" s="4" t="str">
        <f t="shared" si="194"/>
        <v/>
      </c>
      <c r="OU5" s="4" t="str">
        <f t="shared" si="195"/>
        <v/>
      </c>
      <c r="OV5" s="4" t="str">
        <f t="shared" si="196"/>
        <v/>
      </c>
      <c r="OW5" s="4" t="str">
        <f t="shared" si="197"/>
        <v/>
      </c>
      <c r="OX5" s="4" t="str">
        <f t="shared" si="198"/>
        <v/>
      </c>
      <c r="OY5" s="4" t="str">
        <f t="shared" si="199"/>
        <v/>
      </c>
      <c r="OZ5" s="4" t="str">
        <f t="shared" si="200"/>
        <v/>
      </c>
      <c r="PA5" s="4" t="str">
        <f t="shared" si="201"/>
        <v/>
      </c>
      <c r="PB5" s="4" t="str">
        <f t="shared" si="202"/>
        <v/>
      </c>
      <c r="PC5" s="4" t="str">
        <f t="shared" si="203"/>
        <v/>
      </c>
      <c r="PD5" s="4" t="str">
        <f t="shared" si="204"/>
        <v/>
      </c>
      <c r="PE5" s="4" t="str">
        <f t="shared" si="205"/>
        <v/>
      </c>
      <c r="PF5" s="4" t="str">
        <f t="shared" si="206"/>
        <v/>
      </c>
      <c r="PG5" s="4" t="str">
        <f t="shared" si="207"/>
        <v/>
      </c>
      <c r="PH5" s="4" t="str">
        <f t="shared" si="208"/>
        <v/>
      </c>
      <c r="PI5" s="4" t="str">
        <f t="shared" si="209"/>
        <v/>
      </c>
      <c r="PJ5" s="4" t="str">
        <f t="shared" si="210"/>
        <v/>
      </c>
      <c r="PK5" s="4" t="str">
        <f t="shared" si="211"/>
        <v/>
      </c>
      <c r="PL5" s="4" t="str">
        <f t="shared" si="212"/>
        <v/>
      </c>
      <c r="PM5" s="4" t="str">
        <f t="shared" si="213"/>
        <v/>
      </c>
      <c r="PN5" s="4" t="str">
        <f t="shared" si="214"/>
        <v/>
      </c>
      <c r="PO5" s="4" t="str">
        <f t="shared" si="215"/>
        <v/>
      </c>
      <c r="PP5" s="4" t="str">
        <f t="shared" si="216"/>
        <v/>
      </c>
      <c r="PQ5" s="4" t="str">
        <f t="shared" si="217"/>
        <v/>
      </c>
      <c r="PR5" s="4" t="str">
        <f t="shared" si="218"/>
        <v/>
      </c>
      <c r="PS5" s="4" t="str">
        <f t="shared" si="219"/>
        <v/>
      </c>
    </row>
    <row r="6">
      <c r="HI6" s="4" t="str">
        <f t="shared" si="2"/>
        <v/>
      </c>
      <c r="HJ6" s="4" t="str">
        <f t="shared" si="3"/>
        <v/>
      </c>
      <c r="HK6" s="4" t="str">
        <f t="shared" si="4"/>
        <v/>
      </c>
      <c r="HL6" s="4" t="str">
        <f t="shared" si="5"/>
        <v/>
      </c>
      <c r="HM6" s="4" t="str">
        <f t="shared" si="6"/>
        <v/>
      </c>
      <c r="HN6" s="4" t="str">
        <f t="shared" si="7"/>
        <v/>
      </c>
      <c r="HO6" s="4" t="str">
        <f t="shared" si="8"/>
        <v/>
      </c>
      <c r="HP6" s="4" t="str">
        <f t="shared" si="9"/>
        <v/>
      </c>
      <c r="HQ6" s="4" t="str">
        <f t="shared" si="10"/>
        <v/>
      </c>
      <c r="HR6" s="4" t="str">
        <f t="shared" si="11"/>
        <v/>
      </c>
      <c r="HS6" s="4" t="str">
        <f t="shared" si="12"/>
        <v/>
      </c>
      <c r="HT6" s="4" t="str">
        <f t="shared" si="13"/>
        <v/>
      </c>
      <c r="HU6" s="4" t="str">
        <f t="shared" si="14"/>
        <v/>
      </c>
      <c r="HV6" s="4" t="str">
        <f t="shared" si="15"/>
        <v/>
      </c>
      <c r="HW6" s="4" t="str">
        <f t="shared" si="16"/>
        <v/>
      </c>
      <c r="HX6" s="4" t="str">
        <f t="shared" si="17"/>
        <v/>
      </c>
      <c r="HY6" s="4" t="str">
        <f t="shared" si="18"/>
        <v/>
      </c>
      <c r="HZ6" s="4" t="str">
        <f t="shared" si="19"/>
        <v/>
      </c>
      <c r="IA6" s="4" t="str">
        <f t="shared" si="20"/>
        <v/>
      </c>
      <c r="IB6" s="4" t="str">
        <f t="shared" si="21"/>
        <v/>
      </c>
      <c r="IC6" s="4" t="str">
        <f t="shared" si="22"/>
        <v/>
      </c>
      <c r="ID6" s="4" t="str">
        <f t="shared" si="23"/>
        <v/>
      </c>
      <c r="IE6" s="4" t="str">
        <f t="shared" si="24"/>
        <v/>
      </c>
      <c r="IF6" s="4" t="str">
        <f t="shared" si="25"/>
        <v/>
      </c>
      <c r="IG6" s="4" t="str">
        <f t="shared" si="26"/>
        <v/>
      </c>
      <c r="IH6" s="4" t="str">
        <f t="shared" si="27"/>
        <v/>
      </c>
      <c r="II6" s="4" t="str">
        <f t="shared" si="28"/>
        <v/>
      </c>
      <c r="IJ6" s="4" t="str">
        <f t="shared" si="29"/>
        <v/>
      </c>
      <c r="IK6" s="4" t="str">
        <f t="shared" si="30"/>
        <v/>
      </c>
      <c r="IL6" s="4" t="str">
        <f t="shared" si="31"/>
        <v/>
      </c>
      <c r="IM6" s="4" t="str">
        <f t="shared" si="32"/>
        <v/>
      </c>
      <c r="IN6" s="4" t="str">
        <f t="shared" si="33"/>
        <v/>
      </c>
      <c r="IO6" s="4" t="str">
        <f t="shared" si="34"/>
        <v/>
      </c>
      <c r="IP6" s="4" t="str">
        <f t="shared" si="35"/>
        <v/>
      </c>
      <c r="IQ6" s="4" t="str">
        <f t="shared" si="36"/>
        <v/>
      </c>
      <c r="IR6" s="4" t="str">
        <f t="shared" si="37"/>
        <v/>
      </c>
      <c r="IS6" s="4" t="str">
        <f t="shared" si="38"/>
        <v/>
      </c>
      <c r="IT6" s="4" t="str">
        <f t="shared" si="39"/>
        <v/>
      </c>
      <c r="IU6" s="4" t="str">
        <f t="shared" si="40"/>
        <v/>
      </c>
      <c r="IV6" s="4" t="str">
        <f t="shared" si="41"/>
        <v/>
      </c>
      <c r="IW6" s="4" t="str">
        <f t="shared" si="42"/>
        <v/>
      </c>
      <c r="IX6" s="4" t="str">
        <f t="shared" si="43"/>
        <v/>
      </c>
      <c r="IY6" s="4" t="str">
        <f t="shared" si="44"/>
        <v/>
      </c>
      <c r="IZ6" s="4" t="str">
        <f t="shared" si="45"/>
        <v/>
      </c>
      <c r="JA6" s="4" t="str">
        <f t="shared" ref="JA6:JB6" si="222">if(ISERROR(SEARCH("Higher Education",BB6)),"","810")</f>
        <v/>
      </c>
      <c r="JB6" s="4" t="str">
        <f t="shared" si="222"/>
        <v/>
      </c>
      <c r="JC6" s="4" t="str">
        <f t="shared" si="47"/>
        <v/>
      </c>
      <c r="JD6" s="4" t="str">
        <f t="shared" si="48"/>
        <v/>
      </c>
      <c r="JE6" s="4" t="str">
        <f t="shared" si="49"/>
        <v/>
      </c>
      <c r="JF6" s="4" t="str">
        <f t="shared" si="50"/>
        <v/>
      </c>
      <c r="JG6" s="4" t="str">
        <f t="shared" si="51"/>
        <v/>
      </c>
      <c r="JH6" s="4" t="str">
        <f t="shared" si="52"/>
        <v/>
      </c>
      <c r="JI6" s="4" t="str">
        <f t="shared" si="53"/>
        <v/>
      </c>
      <c r="JJ6" s="4" t="str">
        <f t="shared" si="54"/>
        <v/>
      </c>
      <c r="JK6" s="4" t="str">
        <f t="shared" si="55"/>
        <v/>
      </c>
      <c r="JL6" s="4" t="str">
        <f t="shared" si="56"/>
        <v/>
      </c>
      <c r="JM6" s="4" t="str">
        <f t="shared" si="57"/>
        <v/>
      </c>
      <c r="JN6" s="4" t="str">
        <f t="shared" si="58"/>
        <v/>
      </c>
      <c r="JO6" s="4" t="str">
        <f t="shared" si="59"/>
        <v/>
      </c>
      <c r="JP6" s="4" t="str">
        <f t="shared" si="60"/>
        <v/>
      </c>
      <c r="JQ6" s="4" t="str">
        <f t="shared" si="61"/>
        <v/>
      </c>
      <c r="JR6" s="4" t="str">
        <f t="shared" si="62"/>
        <v/>
      </c>
      <c r="JS6" s="4" t="str">
        <f t="shared" si="63"/>
        <v/>
      </c>
      <c r="JT6" s="4" t="str">
        <f t="shared" si="64"/>
        <v/>
      </c>
      <c r="JU6" s="4" t="str">
        <f t="shared" si="65"/>
        <v/>
      </c>
      <c r="JV6" s="4" t="str">
        <f t="shared" si="66"/>
        <v/>
      </c>
      <c r="JW6" s="4" t="str">
        <f t="shared" si="67"/>
        <v/>
      </c>
      <c r="JX6" s="4" t="str">
        <f t="shared" si="68"/>
        <v/>
      </c>
      <c r="JY6" s="4" t="str">
        <f t="shared" si="69"/>
        <v/>
      </c>
      <c r="JZ6" s="4" t="str">
        <f t="shared" si="70"/>
        <v/>
      </c>
      <c r="KA6" s="4" t="str">
        <f t="shared" si="71"/>
        <v/>
      </c>
      <c r="KB6" s="4" t="str">
        <f t="shared" si="72"/>
        <v/>
      </c>
      <c r="KC6" s="4" t="str">
        <f t="shared" si="73"/>
        <v/>
      </c>
      <c r="KD6" s="4" t="str">
        <f t="shared" si="74"/>
        <v/>
      </c>
      <c r="KE6" s="4" t="str">
        <f t="shared" si="75"/>
        <v/>
      </c>
      <c r="KF6" s="4" t="str">
        <f t="shared" si="76"/>
        <v/>
      </c>
      <c r="KG6" s="4" t="str">
        <f t="shared" si="77"/>
        <v/>
      </c>
      <c r="KH6" s="4" t="str">
        <f t="shared" si="78"/>
        <v/>
      </c>
      <c r="KI6" s="4" t="str">
        <f t="shared" si="79"/>
        <v/>
      </c>
      <c r="KJ6" s="4" t="str">
        <f t="shared" si="80"/>
        <v/>
      </c>
      <c r="KK6" s="4" t="str">
        <f t="shared" si="81"/>
        <v/>
      </c>
      <c r="KL6" s="4" t="str">
        <f t="shared" si="82"/>
        <v/>
      </c>
      <c r="KM6" s="4" t="str">
        <f t="shared" si="83"/>
        <v/>
      </c>
      <c r="KN6" s="4" t="str">
        <f t="shared" si="84"/>
        <v/>
      </c>
      <c r="KO6" s="4" t="str">
        <f t="shared" si="85"/>
        <v/>
      </c>
      <c r="KP6" s="4" t="str">
        <f t="shared" si="86"/>
        <v/>
      </c>
      <c r="KQ6" s="4" t="str">
        <f t="shared" si="87"/>
        <v/>
      </c>
      <c r="KR6" s="4" t="str">
        <f t="shared" si="88"/>
        <v/>
      </c>
      <c r="KS6" s="4" t="str">
        <f t="shared" si="89"/>
        <v/>
      </c>
      <c r="KT6" s="4" t="str">
        <f t="shared" si="90"/>
        <v/>
      </c>
      <c r="KU6" s="4" t="str">
        <f t="shared" si="91"/>
        <v/>
      </c>
      <c r="KV6" s="4" t="str">
        <f t="shared" si="92"/>
        <v/>
      </c>
      <c r="KW6" s="4" t="str">
        <f t="shared" si="93"/>
        <v/>
      </c>
      <c r="KX6" s="4" t="str">
        <f t="shared" si="94"/>
        <v/>
      </c>
      <c r="KY6" s="4" t="str">
        <f t="shared" si="95"/>
        <v/>
      </c>
      <c r="KZ6" s="4" t="str">
        <f t="shared" si="96"/>
        <v/>
      </c>
      <c r="LA6" s="4" t="str">
        <f t="shared" si="97"/>
        <v/>
      </c>
      <c r="LB6" s="4" t="str">
        <f t="shared" si="98"/>
        <v/>
      </c>
      <c r="LC6" s="4" t="str">
        <f t="shared" si="99"/>
        <v/>
      </c>
      <c r="LD6" s="4" t="str">
        <f t="shared" si="100"/>
        <v/>
      </c>
      <c r="LE6" s="4" t="str">
        <f t="shared" si="101"/>
        <v/>
      </c>
      <c r="LF6" s="4" t="str">
        <f t="shared" si="102"/>
        <v/>
      </c>
      <c r="LG6" s="4" t="str">
        <f t="shared" si="103"/>
        <v/>
      </c>
      <c r="LH6" s="4" t="str">
        <f t="shared" si="104"/>
        <v/>
      </c>
      <c r="LI6" s="4" t="str">
        <f t="shared" si="105"/>
        <v/>
      </c>
      <c r="LJ6" s="4" t="str">
        <f t="shared" si="106"/>
        <v/>
      </c>
      <c r="LK6" s="4" t="str">
        <f t="shared" si="107"/>
        <v/>
      </c>
      <c r="LL6" s="4" t="str">
        <f t="shared" si="108"/>
        <v/>
      </c>
      <c r="LM6" s="4" t="str">
        <f t="shared" si="109"/>
        <v/>
      </c>
      <c r="LN6" s="4" t="str">
        <f t="shared" si="110"/>
        <v/>
      </c>
      <c r="LO6" s="4" t="str">
        <f t="shared" si="111"/>
        <v/>
      </c>
      <c r="LP6" s="4" t="str">
        <f t="shared" si="112"/>
        <v/>
      </c>
      <c r="LQ6" s="4" t="str">
        <f t="shared" si="113"/>
        <v/>
      </c>
      <c r="LR6" s="4" t="str">
        <f t="shared" si="114"/>
        <v/>
      </c>
      <c r="LS6" s="4" t="str">
        <f t="shared" si="115"/>
        <v/>
      </c>
      <c r="LT6" s="4" t="str">
        <f t="shared" si="116"/>
        <v/>
      </c>
      <c r="LU6" s="4" t="str">
        <f t="shared" si="117"/>
        <v/>
      </c>
      <c r="LV6" s="4" t="str">
        <f t="shared" si="118"/>
        <v/>
      </c>
      <c r="LW6" s="4" t="str">
        <f t="shared" si="119"/>
        <v/>
      </c>
      <c r="LX6" s="4" t="str">
        <f t="shared" si="120"/>
        <v/>
      </c>
      <c r="LY6" s="4" t="str">
        <f t="shared" si="121"/>
        <v/>
      </c>
      <c r="LZ6" s="4" t="str">
        <f t="shared" si="122"/>
        <v/>
      </c>
      <c r="MA6" s="4" t="str">
        <f t="shared" si="123"/>
        <v/>
      </c>
      <c r="MB6" s="4" t="str">
        <f t="shared" si="124"/>
        <v/>
      </c>
      <c r="MC6" s="4" t="str">
        <f t="shared" si="125"/>
        <v/>
      </c>
      <c r="MD6" s="4" t="str">
        <f t="shared" si="126"/>
        <v/>
      </c>
      <c r="ME6" s="4" t="str">
        <f t="shared" si="127"/>
        <v/>
      </c>
      <c r="MF6" s="4" t="str">
        <f t="shared" si="128"/>
        <v/>
      </c>
      <c r="MG6" s="4" t="str">
        <f t="shared" si="129"/>
        <v/>
      </c>
      <c r="MH6" s="4" t="str">
        <f t="shared" si="130"/>
        <v/>
      </c>
      <c r="MI6" s="4" t="str">
        <f t="shared" si="131"/>
        <v/>
      </c>
      <c r="MJ6" s="4" t="str">
        <f t="shared" si="132"/>
        <v/>
      </c>
      <c r="MK6" s="4" t="str">
        <f t="shared" si="133"/>
        <v/>
      </c>
      <c r="ML6" s="4" t="str">
        <f t="shared" si="134"/>
        <v/>
      </c>
      <c r="MM6" s="4" t="str">
        <f t="shared" si="135"/>
        <v/>
      </c>
      <c r="MN6" s="4" t="str">
        <f t="shared" si="136"/>
        <v/>
      </c>
      <c r="MO6" s="4" t="str">
        <f t="shared" si="137"/>
        <v/>
      </c>
      <c r="MP6" s="4" t="str">
        <f t="shared" si="138"/>
        <v/>
      </c>
      <c r="MQ6" s="4" t="str">
        <f t="shared" si="139"/>
        <v/>
      </c>
      <c r="MR6" s="4" t="str">
        <f t="shared" si="140"/>
        <v/>
      </c>
      <c r="MS6" s="4" t="str">
        <f t="shared" si="141"/>
        <v/>
      </c>
      <c r="MT6" s="4" t="str">
        <f t="shared" si="142"/>
        <v/>
      </c>
      <c r="MU6" s="4" t="str">
        <f t="shared" si="143"/>
        <v/>
      </c>
      <c r="MV6" s="4" t="str">
        <f t="shared" si="144"/>
        <v/>
      </c>
      <c r="MW6" s="4" t="str">
        <f t="shared" si="145"/>
        <v/>
      </c>
      <c r="MX6" s="4" t="str">
        <f t="shared" si="146"/>
        <v/>
      </c>
      <c r="MY6" s="4" t="str">
        <f t="shared" si="147"/>
        <v/>
      </c>
      <c r="MZ6" s="4" t="str">
        <f t="shared" si="148"/>
        <v/>
      </c>
      <c r="NA6" s="4" t="str">
        <f t="shared" si="149"/>
        <v/>
      </c>
      <c r="NB6" s="4" t="str">
        <f t="shared" si="150"/>
        <v/>
      </c>
      <c r="NC6" s="4" t="str">
        <f t="shared" si="151"/>
        <v/>
      </c>
      <c r="ND6" s="4" t="str">
        <f t="shared" si="152"/>
        <v/>
      </c>
      <c r="NE6" s="4" t="str">
        <f t="shared" si="153"/>
        <v/>
      </c>
      <c r="NF6" s="4" t="str">
        <f t="shared" si="154"/>
        <v/>
      </c>
      <c r="NG6" s="4" t="str">
        <f t="shared" si="155"/>
        <v/>
      </c>
      <c r="NH6" s="4" t="str">
        <f t="shared" si="156"/>
        <v/>
      </c>
      <c r="NI6" s="4" t="str">
        <f t="shared" si="157"/>
        <v/>
      </c>
      <c r="NJ6" s="4" t="str">
        <f t="shared" si="158"/>
        <v/>
      </c>
      <c r="NK6" s="4" t="str">
        <f t="shared" si="159"/>
        <v/>
      </c>
      <c r="NL6" s="4" t="str">
        <f t="shared" si="160"/>
        <v/>
      </c>
      <c r="NM6" s="4" t="str">
        <f t="shared" si="161"/>
        <v/>
      </c>
      <c r="NN6" s="4" t="str">
        <f t="shared" si="162"/>
        <v/>
      </c>
      <c r="NO6" s="4" t="str">
        <f t="shared" si="163"/>
        <v/>
      </c>
      <c r="NP6" s="4" t="str">
        <f t="shared" si="164"/>
        <v/>
      </c>
      <c r="NQ6" s="4" t="str">
        <f t="shared" si="165"/>
        <v/>
      </c>
      <c r="NR6" s="4" t="str">
        <f t="shared" si="166"/>
        <v/>
      </c>
      <c r="NS6" s="4" t="str">
        <f t="shared" si="167"/>
        <v/>
      </c>
      <c r="NT6" s="4" t="str">
        <f t="shared" si="168"/>
        <v/>
      </c>
      <c r="NU6" s="4" t="str">
        <f t="shared" si="169"/>
        <v/>
      </c>
      <c r="NV6" s="4" t="str">
        <f t="shared" si="170"/>
        <v/>
      </c>
      <c r="NW6" s="4" t="str">
        <f t="shared" si="171"/>
        <v/>
      </c>
      <c r="NX6" s="4" t="str">
        <f t="shared" si="172"/>
        <v/>
      </c>
      <c r="NY6" s="4" t="str">
        <f t="shared" si="173"/>
        <v/>
      </c>
      <c r="NZ6" s="4" t="str">
        <f t="shared" si="174"/>
        <v/>
      </c>
      <c r="OA6" s="4" t="str">
        <f t="shared" si="175"/>
        <v/>
      </c>
      <c r="OB6" s="4" t="str">
        <f t="shared" si="176"/>
        <v/>
      </c>
      <c r="OC6" s="4" t="str">
        <f t="shared" si="177"/>
        <v/>
      </c>
      <c r="OD6" s="4" t="str">
        <f t="shared" si="178"/>
        <v/>
      </c>
      <c r="OE6" s="4" t="str">
        <f t="shared" si="179"/>
        <v/>
      </c>
      <c r="OF6" s="4" t="str">
        <f t="shared" si="180"/>
        <v/>
      </c>
      <c r="OG6" s="4" t="str">
        <f t="shared" si="181"/>
        <v/>
      </c>
      <c r="OH6" s="4" t="str">
        <f t="shared" si="182"/>
        <v/>
      </c>
      <c r="OI6" s="4" t="str">
        <f t="shared" si="183"/>
        <v/>
      </c>
      <c r="OJ6" s="4" t="str">
        <f t="shared" si="184"/>
        <v/>
      </c>
      <c r="OK6" s="4" t="str">
        <f t="shared" si="185"/>
        <v/>
      </c>
      <c r="OL6" s="4" t="str">
        <f t="shared" si="186"/>
        <v/>
      </c>
      <c r="OM6" s="4" t="str">
        <f t="shared" si="187"/>
        <v/>
      </c>
      <c r="ON6" s="4" t="str">
        <f t="shared" si="188"/>
        <v/>
      </c>
      <c r="OO6" s="4" t="str">
        <f t="shared" si="189"/>
        <v/>
      </c>
      <c r="OP6" s="4" t="str">
        <f t="shared" si="190"/>
        <v/>
      </c>
      <c r="OQ6" s="4" t="str">
        <f t="shared" si="191"/>
        <v/>
      </c>
      <c r="OR6" s="4" t="str">
        <f t="shared" si="192"/>
        <v/>
      </c>
      <c r="OS6" s="4" t="str">
        <f t="shared" si="193"/>
        <v/>
      </c>
      <c r="OT6" s="4" t="str">
        <f t="shared" si="194"/>
        <v/>
      </c>
      <c r="OU6" s="4" t="str">
        <f t="shared" si="195"/>
        <v/>
      </c>
      <c r="OV6" s="4" t="str">
        <f t="shared" si="196"/>
        <v/>
      </c>
      <c r="OW6" s="4" t="str">
        <f t="shared" si="197"/>
        <v/>
      </c>
      <c r="OX6" s="4" t="str">
        <f t="shared" si="198"/>
        <v/>
      </c>
      <c r="OY6" s="4" t="str">
        <f t="shared" si="199"/>
        <v/>
      </c>
      <c r="OZ6" s="4" t="str">
        <f t="shared" si="200"/>
        <v/>
      </c>
      <c r="PA6" s="4" t="str">
        <f t="shared" si="201"/>
        <v/>
      </c>
      <c r="PB6" s="4" t="str">
        <f t="shared" si="202"/>
        <v/>
      </c>
      <c r="PC6" s="4" t="str">
        <f t="shared" si="203"/>
        <v/>
      </c>
      <c r="PD6" s="4" t="str">
        <f t="shared" si="204"/>
        <v/>
      </c>
      <c r="PE6" s="4" t="str">
        <f t="shared" si="205"/>
        <v/>
      </c>
      <c r="PF6" s="4" t="str">
        <f t="shared" si="206"/>
        <v/>
      </c>
      <c r="PG6" s="4" t="str">
        <f t="shared" si="207"/>
        <v/>
      </c>
      <c r="PH6" s="4" t="str">
        <f t="shared" si="208"/>
        <v/>
      </c>
      <c r="PI6" s="4" t="str">
        <f t="shared" si="209"/>
        <v/>
      </c>
      <c r="PJ6" s="4" t="str">
        <f t="shared" si="210"/>
        <v/>
      </c>
      <c r="PK6" s="4" t="str">
        <f t="shared" si="211"/>
        <v/>
      </c>
      <c r="PL6" s="4" t="str">
        <f t="shared" si="212"/>
        <v/>
      </c>
      <c r="PM6" s="4" t="str">
        <f t="shared" si="213"/>
        <v/>
      </c>
      <c r="PN6" s="4" t="str">
        <f t="shared" si="214"/>
        <v/>
      </c>
      <c r="PO6" s="4" t="str">
        <f t="shared" si="215"/>
        <v/>
      </c>
      <c r="PP6" s="4" t="str">
        <f t="shared" si="216"/>
        <v/>
      </c>
      <c r="PQ6" s="4" t="str">
        <f t="shared" si="217"/>
        <v/>
      </c>
      <c r="PR6" s="4" t="str">
        <f t="shared" si="218"/>
        <v/>
      </c>
      <c r="PS6" s="4" t="str">
        <f t="shared" si="219"/>
        <v/>
      </c>
    </row>
    <row r="7">
      <c r="HI7" s="4" t="str">
        <f t="shared" si="2"/>
        <v/>
      </c>
      <c r="HJ7" s="4" t="str">
        <f t="shared" si="3"/>
        <v/>
      </c>
      <c r="HK7" s="4" t="str">
        <f t="shared" si="4"/>
        <v/>
      </c>
      <c r="HL7" s="4" t="str">
        <f t="shared" si="5"/>
        <v/>
      </c>
      <c r="HM7" s="4" t="str">
        <f t="shared" si="6"/>
        <v/>
      </c>
      <c r="HN7" s="4" t="str">
        <f t="shared" si="7"/>
        <v/>
      </c>
      <c r="HO7" s="4" t="str">
        <f t="shared" si="8"/>
        <v/>
      </c>
      <c r="HP7" s="4" t="str">
        <f t="shared" si="9"/>
        <v/>
      </c>
      <c r="HQ7" s="4" t="str">
        <f t="shared" si="10"/>
        <v/>
      </c>
      <c r="HR7" s="4" t="str">
        <f t="shared" si="11"/>
        <v/>
      </c>
      <c r="HS7" s="4" t="str">
        <f t="shared" si="12"/>
        <v/>
      </c>
      <c r="HT7" s="4" t="str">
        <f t="shared" si="13"/>
        <v/>
      </c>
      <c r="HU7" s="4" t="str">
        <f t="shared" si="14"/>
        <v/>
      </c>
      <c r="HV7" s="4" t="str">
        <f t="shared" si="15"/>
        <v/>
      </c>
      <c r="HW7" s="4" t="str">
        <f t="shared" si="16"/>
        <v/>
      </c>
      <c r="HX7" s="4" t="str">
        <f t="shared" si="17"/>
        <v/>
      </c>
      <c r="HY7" s="4" t="str">
        <f t="shared" si="18"/>
        <v/>
      </c>
      <c r="HZ7" s="4" t="str">
        <f t="shared" si="19"/>
        <v/>
      </c>
      <c r="IA7" s="4" t="str">
        <f t="shared" si="20"/>
        <v/>
      </c>
      <c r="IB7" s="4" t="str">
        <f t="shared" si="21"/>
        <v/>
      </c>
      <c r="IC7" s="4" t="str">
        <f t="shared" si="22"/>
        <v/>
      </c>
      <c r="ID7" s="4" t="str">
        <f t="shared" si="23"/>
        <v/>
      </c>
      <c r="IE7" s="4" t="str">
        <f t="shared" si="24"/>
        <v/>
      </c>
      <c r="IF7" s="4" t="str">
        <f t="shared" si="25"/>
        <v/>
      </c>
      <c r="IG7" s="4" t="str">
        <f t="shared" si="26"/>
        <v/>
      </c>
      <c r="IH7" s="4" t="str">
        <f t="shared" si="27"/>
        <v/>
      </c>
      <c r="II7" s="4" t="str">
        <f t="shared" si="28"/>
        <v/>
      </c>
      <c r="IJ7" s="4" t="str">
        <f t="shared" si="29"/>
        <v/>
      </c>
      <c r="IK7" s="4" t="str">
        <f t="shared" si="30"/>
        <v/>
      </c>
      <c r="IL7" s="4" t="str">
        <f t="shared" si="31"/>
        <v/>
      </c>
      <c r="IM7" s="4" t="str">
        <f t="shared" si="32"/>
        <v/>
      </c>
      <c r="IN7" s="4" t="str">
        <f t="shared" si="33"/>
        <v/>
      </c>
      <c r="IO7" s="4" t="str">
        <f t="shared" si="34"/>
        <v/>
      </c>
      <c r="IP7" s="4" t="str">
        <f t="shared" si="35"/>
        <v/>
      </c>
      <c r="IQ7" s="4" t="str">
        <f t="shared" si="36"/>
        <v/>
      </c>
      <c r="IR7" s="4" t="str">
        <f t="shared" si="37"/>
        <v/>
      </c>
      <c r="IS7" s="4" t="str">
        <f t="shared" si="38"/>
        <v/>
      </c>
      <c r="IT7" s="4" t="str">
        <f t="shared" si="39"/>
        <v/>
      </c>
      <c r="IU7" s="4" t="str">
        <f t="shared" si="40"/>
        <v/>
      </c>
      <c r="IV7" s="4" t="str">
        <f t="shared" si="41"/>
        <v/>
      </c>
      <c r="IW7" s="4" t="str">
        <f t="shared" si="42"/>
        <v/>
      </c>
      <c r="IX7" s="4" t="str">
        <f t="shared" si="43"/>
        <v/>
      </c>
      <c r="IY7" s="4" t="str">
        <f t="shared" si="44"/>
        <v/>
      </c>
      <c r="IZ7" s="4" t="str">
        <f t="shared" si="45"/>
        <v/>
      </c>
      <c r="JA7" s="4" t="str">
        <f t="shared" ref="JA7:JB7" si="223">if(ISERROR(SEARCH("Higher Education",BB7)),"","810")</f>
        <v/>
      </c>
      <c r="JB7" s="4" t="str">
        <f t="shared" si="223"/>
        <v/>
      </c>
      <c r="JC7" s="4" t="str">
        <f t="shared" si="47"/>
        <v/>
      </c>
      <c r="JD7" s="4" t="str">
        <f t="shared" si="48"/>
        <v/>
      </c>
      <c r="JE7" s="4" t="str">
        <f t="shared" si="49"/>
        <v/>
      </c>
      <c r="JF7" s="4" t="str">
        <f t="shared" si="50"/>
        <v/>
      </c>
      <c r="JG7" s="4" t="str">
        <f t="shared" si="51"/>
        <v/>
      </c>
      <c r="JH7" s="4" t="str">
        <f t="shared" si="52"/>
        <v/>
      </c>
      <c r="JI7" s="4" t="str">
        <f t="shared" si="53"/>
        <v/>
      </c>
      <c r="JJ7" s="4" t="str">
        <f t="shared" si="54"/>
        <v/>
      </c>
      <c r="JK7" s="4" t="str">
        <f t="shared" si="55"/>
        <v/>
      </c>
      <c r="JL7" s="4" t="str">
        <f t="shared" si="56"/>
        <v/>
      </c>
      <c r="JM7" s="4" t="str">
        <f t="shared" si="57"/>
        <v/>
      </c>
      <c r="JN7" s="4" t="str">
        <f t="shared" si="58"/>
        <v/>
      </c>
      <c r="JO7" s="4" t="str">
        <f t="shared" si="59"/>
        <v/>
      </c>
      <c r="JP7" s="4" t="str">
        <f t="shared" si="60"/>
        <v/>
      </c>
      <c r="JQ7" s="4" t="str">
        <f t="shared" si="61"/>
        <v/>
      </c>
      <c r="JR7" s="4" t="str">
        <f t="shared" si="62"/>
        <v/>
      </c>
      <c r="JS7" s="4" t="str">
        <f t="shared" si="63"/>
        <v/>
      </c>
      <c r="JT7" s="4" t="str">
        <f t="shared" si="64"/>
        <v/>
      </c>
      <c r="JU7" s="4" t="str">
        <f t="shared" si="65"/>
        <v/>
      </c>
      <c r="JV7" s="4" t="str">
        <f t="shared" si="66"/>
        <v/>
      </c>
      <c r="JW7" s="4" t="str">
        <f t="shared" si="67"/>
        <v/>
      </c>
      <c r="JX7" s="4" t="str">
        <f t="shared" si="68"/>
        <v/>
      </c>
      <c r="JY7" s="4" t="str">
        <f t="shared" si="69"/>
        <v/>
      </c>
      <c r="JZ7" s="4" t="str">
        <f t="shared" si="70"/>
        <v/>
      </c>
      <c r="KA7" s="4" t="str">
        <f t="shared" si="71"/>
        <v/>
      </c>
      <c r="KB7" s="4" t="str">
        <f t="shared" si="72"/>
        <v/>
      </c>
      <c r="KC7" s="4" t="str">
        <f t="shared" si="73"/>
        <v/>
      </c>
      <c r="KD7" s="4" t="str">
        <f t="shared" si="74"/>
        <v/>
      </c>
      <c r="KE7" s="4" t="str">
        <f t="shared" si="75"/>
        <v/>
      </c>
      <c r="KF7" s="4" t="str">
        <f t="shared" si="76"/>
        <v/>
      </c>
      <c r="KG7" s="4" t="str">
        <f t="shared" si="77"/>
        <v/>
      </c>
      <c r="KH7" s="4" t="str">
        <f t="shared" si="78"/>
        <v/>
      </c>
      <c r="KI7" s="4" t="str">
        <f t="shared" si="79"/>
        <v/>
      </c>
      <c r="KJ7" s="4" t="str">
        <f t="shared" si="80"/>
        <v/>
      </c>
      <c r="KK7" s="4" t="str">
        <f t="shared" si="81"/>
        <v/>
      </c>
      <c r="KL7" s="4" t="str">
        <f t="shared" si="82"/>
        <v/>
      </c>
      <c r="KM7" s="4" t="str">
        <f t="shared" si="83"/>
        <v/>
      </c>
      <c r="KN7" s="4" t="str">
        <f t="shared" si="84"/>
        <v/>
      </c>
      <c r="KO7" s="4" t="str">
        <f t="shared" si="85"/>
        <v/>
      </c>
      <c r="KP7" s="4" t="str">
        <f t="shared" si="86"/>
        <v/>
      </c>
      <c r="KQ7" s="4" t="str">
        <f t="shared" si="87"/>
        <v/>
      </c>
      <c r="KR7" s="4" t="str">
        <f t="shared" si="88"/>
        <v/>
      </c>
      <c r="KS7" s="4" t="str">
        <f t="shared" si="89"/>
        <v/>
      </c>
      <c r="KT7" s="4" t="str">
        <f t="shared" si="90"/>
        <v/>
      </c>
      <c r="KU7" s="4" t="str">
        <f t="shared" si="91"/>
        <v/>
      </c>
      <c r="KV7" s="4" t="str">
        <f t="shared" si="92"/>
        <v/>
      </c>
      <c r="KW7" s="4" t="str">
        <f t="shared" si="93"/>
        <v/>
      </c>
      <c r="KX7" s="4" t="str">
        <f t="shared" si="94"/>
        <v/>
      </c>
      <c r="KY7" s="4" t="str">
        <f t="shared" si="95"/>
        <v/>
      </c>
      <c r="KZ7" s="4" t="str">
        <f t="shared" si="96"/>
        <v/>
      </c>
      <c r="LA7" s="4" t="str">
        <f t="shared" si="97"/>
        <v/>
      </c>
      <c r="LB7" s="4" t="str">
        <f t="shared" si="98"/>
        <v/>
      </c>
      <c r="LC7" s="4" t="str">
        <f t="shared" si="99"/>
        <v/>
      </c>
      <c r="LD7" s="4" t="str">
        <f t="shared" si="100"/>
        <v/>
      </c>
      <c r="LE7" s="4" t="str">
        <f t="shared" si="101"/>
        <v/>
      </c>
      <c r="LF7" s="4" t="str">
        <f t="shared" si="102"/>
        <v/>
      </c>
      <c r="LG7" s="4" t="str">
        <f t="shared" si="103"/>
        <v/>
      </c>
      <c r="LH7" s="4" t="str">
        <f t="shared" si="104"/>
        <v/>
      </c>
      <c r="LI7" s="4" t="str">
        <f t="shared" si="105"/>
        <v/>
      </c>
      <c r="LJ7" s="4" t="str">
        <f t="shared" si="106"/>
        <v/>
      </c>
      <c r="LK7" s="4" t="str">
        <f t="shared" si="107"/>
        <v/>
      </c>
      <c r="LL7" s="4" t="str">
        <f t="shared" si="108"/>
        <v/>
      </c>
      <c r="LM7" s="4" t="str">
        <f t="shared" si="109"/>
        <v/>
      </c>
      <c r="LN7" s="4" t="str">
        <f t="shared" si="110"/>
        <v/>
      </c>
      <c r="LO7" s="4" t="str">
        <f t="shared" si="111"/>
        <v/>
      </c>
      <c r="LP7" s="4" t="str">
        <f t="shared" si="112"/>
        <v/>
      </c>
      <c r="LQ7" s="4" t="str">
        <f t="shared" si="113"/>
        <v/>
      </c>
      <c r="LR7" s="4" t="str">
        <f t="shared" si="114"/>
        <v/>
      </c>
      <c r="LS7" s="4" t="str">
        <f t="shared" si="115"/>
        <v/>
      </c>
      <c r="LT7" s="4" t="str">
        <f t="shared" si="116"/>
        <v/>
      </c>
      <c r="LU7" s="4" t="str">
        <f t="shared" si="117"/>
        <v/>
      </c>
      <c r="LV7" s="4" t="str">
        <f t="shared" si="118"/>
        <v/>
      </c>
      <c r="LW7" s="4" t="str">
        <f t="shared" si="119"/>
        <v/>
      </c>
      <c r="LX7" s="4" t="str">
        <f t="shared" si="120"/>
        <v/>
      </c>
      <c r="LY7" s="4" t="str">
        <f t="shared" si="121"/>
        <v/>
      </c>
      <c r="LZ7" s="4" t="str">
        <f t="shared" si="122"/>
        <v/>
      </c>
      <c r="MA7" s="4" t="str">
        <f t="shared" si="123"/>
        <v/>
      </c>
      <c r="MB7" s="4" t="str">
        <f t="shared" si="124"/>
        <v/>
      </c>
      <c r="MC7" s="4" t="str">
        <f t="shared" si="125"/>
        <v/>
      </c>
      <c r="MD7" s="4" t="str">
        <f t="shared" si="126"/>
        <v/>
      </c>
      <c r="ME7" s="4" t="str">
        <f t="shared" si="127"/>
        <v/>
      </c>
      <c r="MF7" s="4" t="str">
        <f t="shared" si="128"/>
        <v/>
      </c>
      <c r="MG7" s="4" t="str">
        <f t="shared" si="129"/>
        <v/>
      </c>
      <c r="MH7" s="4" t="str">
        <f t="shared" si="130"/>
        <v/>
      </c>
      <c r="MI7" s="4" t="str">
        <f t="shared" si="131"/>
        <v/>
      </c>
      <c r="MJ7" s="4" t="str">
        <f t="shared" si="132"/>
        <v/>
      </c>
      <c r="MK7" s="4" t="str">
        <f t="shared" si="133"/>
        <v/>
      </c>
      <c r="ML7" s="4" t="str">
        <f t="shared" si="134"/>
        <v/>
      </c>
      <c r="MM7" s="4" t="str">
        <f t="shared" si="135"/>
        <v/>
      </c>
      <c r="MN7" s="4" t="str">
        <f t="shared" si="136"/>
        <v/>
      </c>
      <c r="MO7" s="4" t="str">
        <f t="shared" si="137"/>
        <v/>
      </c>
      <c r="MP7" s="4" t="str">
        <f t="shared" si="138"/>
        <v/>
      </c>
      <c r="MQ7" s="4" t="str">
        <f t="shared" si="139"/>
        <v/>
      </c>
      <c r="MR7" s="4" t="str">
        <f t="shared" si="140"/>
        <v/>
      </c>
      <c r="MS7" s="4" t="str">
        <f t="shared" si="141"/>
        <v/>
      </c>
      <c r="MT7" s="4" t="str">
        <f t="shared" si="142"/>
        <v/>
      </c>
      <c r="MU7" s="4" t="str">
        <f t="shared" si="143"/>
        <v/>
      </c>
      <c r="MV7" s="4" t="str">
        <f t="shared" si="144"/>
        <v/>
      </c>
      <c r="MW7" s="4" t="str">
        <f t="shared" si="145"/>
        <v/>
      </c>
      <c r="MX7" s="4" t="str">
        <f t="shared" si="146"/>
        <v/>
      </c>
      <c r="MY7" s="4" t="str">
        <f t="shared" si="147"/>
        <v/>
      </c>
      <c r="MZ7" s="4" t="str">
        <f t="shared" si="148"/>
        <v/>
      </c>
      <c r="NA7" s="4" t="str">
        <f t="shared" si="149"/>
        <v/>
      </c>
      <c r="NB7" s="4" t="str">
        <f t="shared" si="150"/>
        <v/>
      </c>
      <c r="NC7" s="4" t="str">
        <f t="shared" si="151"/>
        <v/>
      </c>
      <c r="ND7" s="4" t="str">
        <f t="shared" si="152"/>
        <v/>
      </c>
      <c r="NE7" s="4" t="str">
        <f t="shared" si="153"/>
        <v/>
      </c>
      <c r="NF7" s="4" t="str">
        <f t="shared" si="154"/>
        <v/>
      </c>
      <c r="NG7" s="4" t="str">
        <f t="shared" si="155"/>
        <v/>
      </c>
      <c r="NH7" s="4" t="str">
        <f t="shared" si="156"/>
        <v/>
      </c>
      <c r="NI7" s="4" t="str">
        <f t="shared" si="157"/>
        <v/>
      </c>
      <c r="NJ7" s="4" t="str">
        <f t="shared" si="158"/>
        <v/>
      </c>
      <c r="NK7" s="4" t="str">
        <f t="shared" si="159"/>
        <v/>
      </c>
      <c r="NL7" s="4" t="str">
        <f t="shared" si="160"/>
        <v/>
      </c>
      <c r="NM7" s="4" t="str">
        <f t="shared" si="161"/>
        <v/>
      </c>
      <c r="NN7" s="4" t="str">
        <f t="shared" si="162"/>
        <v/>
      </c>
      <c r="NO7" s="4" t="str">
        <f t="shared" si="163"/>
        <v/>
      </c>
      <c r="NP7" s="4" t="str">
        <f t="shared" si="164"/>
        <v/>
      </c>
      <c r="NQ7" s="4" t="str">
        <f t="shared" si="165"/>
        <v/>
      </c>
      <c r="NR7" s="4" t="str">
        <f t="shared" si="166"/>
        <v/>
      </c>
      <c r="NS7" s="4" t="str">
        <f t="shared" si="167"/>
        <v/>
      </c>
      <c r="NT7" s="4" t="str">
        <f t="shared" si="168"/>
        <v/>
      </c>
      <c r="NU7" s="4" t="str">
        <f t="shared" si="169"/>
        <v/>
      </c>
      <c r="NV7" s="4" t="str">
        <f t="shared" si="170"/>
        <v/>
      </c>
      <c r="NW7" s="4" t="str">
        <f t="shared" si="171"/>
        <v/>
      </c>
      <c r="NX7" s="4" t="str">
        <f t="shared" si="172"/>
        <v/>
      </c>
      <c r="NY7" s="4" t="str">
        <f t="shared" si="173"/>
        <v/>
      </c>
      <c r="NZ7" s="4" t="str">
        <f t="shared" si="174"/>
        <v/>
      </c>
      <c r="OA7" s="4" t="str">
        <f t="shared" si="175"/>
        <v/>
      </c>
      <c r="OB7" s="4" t="str">
        <f t="shared" si="176"/>
        <v/>
      </c>
      <c r="OC7" s="4" t="str">
        <f t="shared" si="177"/>
        <v/>
      </c>
      <c r="OD7" s="4" t="str">
        <f t="shared" si="178"/>
        <v/>
      </c>
      <c r="OE7" s="4" t="str">
        <f t="shared" si="179"/>
        <v/>
      </c>
      <c r="OF7" s="4" t="str">
        <f t="shared" si="180"/>
        <v/>
      </c>
      <c r="OG7" s="4" t="str">
        <f t="shared" si="181"/>
        <v/>
      </c>
      <c r="OH7" s="4" t="str">
        <f t="shared" si="182"/>
        <v/>
      </c>
      <c r="OI7" s="4" t="str">
        <f t="shared" si="183"/>
        <v/>
      </c>
      <c r="OJ7" s="4" t="str">
        <f t="shared" si="184"/>
        <v/>
      </c>
      <c r="OK7" s="4" t="str">
        <f t="shared" si="185"/>
        <v/>
      </c>
      <c r="OL7" s="4" t="str">
        <f t="shared" si="186"/>
        <v/>
      </c>
      <c r="OM7" s="4" t="str">
        <f t="shared" si="187"/>
        <v/>
      </c>
      <c r="ON7" s="4" t="str">
        <f t="shared" si="188"/>
        <v/>
      </c>
      <c r="OO7" s="4" t="str">
        <f t="shared" si="189"/>
        <v/>
      </c>
      <c r="OP7" s="4" t="str">
        <f t="shared" si="190"/>
        <v/>
      </c>
      <c r="OQ7" s="4" t="str">
        <f t="shared" si="191"/>
        <v/>
      </c>
      <c r="OR7" s="4" t="str">
        <f t="shared" si="192"/>
        <v/>
      </c>
      <c r="OS7" s="4" t="str">
        <f t="shared" si="193"/>
        <v/>
      </c>
      <c r="OT7" s="4" t="str">
        <f t="shared" si="194"/>
        <v/>
      </c>
      <c r="OU7" s="4" t="str">
        <f t="shared" si="195"/>
        <v/>
      </c>
      <c r="OV7" s="4" t="str">
        <f t="shared" si="196"/>
        <v/>
      </c>
      <c r="OW7" s="4" t="str">
        <f t="shared" si="197"/>
        <v/>
      </c>
      <c r="OX7" s="4" t="str">
        <f t="shared" si="198"/>
        <v/>
      </c>
      <c r="OY7" s="4" t="str">
        <f t="shared" si="199"/>
        <v/>
      </c>
      <c r="OZ7" s="4" t="str">
        <f t="shared" si="200"/>
        <v/>
      </c>
      <c r="PA7" s="4" t="str">
        <f t="shared" si="201"/>
        <v/>
      </c>
      <c r="PB7" s="4" t="str">
        <f t="shared" si="202"/>
        <v/>
      </c>
      <c r="PC7" s="4" t="str">
        <f t="shared" si="203"/>
        <v/>
      </c>
      <c r="PD7" s="4" t="str">
        <f t="shared" si="204"/>
        <v/>
      </c>
      <c r="PE7" s="4" t="str">
        <f t="shared" si="205"/>
        <v/>
      </c>
      <c r="PF7" s="4" t="str">
        <f t="shared" si="206"/>
        <v/>
      </c>
      <c r="PG7" s="4" t="str">
        <f t="shared" si="207"/>
        <v/>
      </c>
      <c r="PH7" s="4" t="str">
        <f t="shared" si="208"/>
        <v/>
      </c>
      <c r="PI7" s="4" t="str">
        <f t="shared" si="209"/>
        <v/>
      </c>
      <c r="PJ7" s="4" t="str">
        <f t="shared" si="210"/>
        <v/>
      </c>
      <c r="PK7" s="4" t="str">
        <f t="shared" si="211"/>
        <v/>
      </c>
      <c r="PL7" s="4" t="str">
        <f t="shared" si="212"/>
        <v/>
      </c>
      <c r="PM7" s="4" t="str">
        <f t="shared" si="213"/>
        <v/>
      </c>
      <c r="PN7" s="4" t="str">
        <f t="shared" si="214"/>
        <v/>
      </c>
      <c r="PO7" s="4" t="str">
        <f t="shared" si="215"/>
        <v/>
      </c>
      <c r="PP7" s="4" t="str">
        <f t="shared" si="216"/>
        <v/>
      </c>
      <c r="PQ7" s="4" t="str">
        <f t="shared" si="217"/>
        <v/>
      </c>
      <c r="PR7" s="4" t="str">
        <f t="shared" si="218"/>
        <v/>
      </c>
      <c r="PS7" s="4" t="str">
        <f t="shared" si="219"/>
        <v/>
      </c>
    </row>
    <row r="8">
      <c r="HI8" s="4" t="str">
        <f t="shared" si="2"/>
        <v/>
      </c>
      <c r="HJ8" s="4" t="str">
        <f t="shared" si="3"/>
        <v/>
      </c>
      <c r="HK8" s="4" t="str">
        <f t="shared" si="4"/>
        <v/>
      </c>
      <c r="HL8" s="4" t="str">
        <f t="shared" si="5"/>
        <v/>
      </c>
      <c r="HM8" s="4" t="str">
        <f t="shared" si="6"/>
        <v/>
      </c>
      <c r="HN8" s="4" t="str">
        <f t="shared" si="7"/>
        <v/>
      </c>
      <c r="HO8" s="4" t="str">
        <f t="shared" si="8"/>
        <v/>
      </c>
      <c r="HP8" s="4" t="str">
        <f t="shared" si="9"/>
        <v/>
      </c>
      <c r="HQ8" s="4" t="str">
        <f t="shared" si="10"/>
        <v/>
      </c>
      <c r="HR8" s="4" t="str">
        <f t="shared" si="11"/>
        <v/>
      </c>
      <c r="HS8" s="4" t="str">
        <f t="shared" si="12"/>
        <v/>
      </c>
      <c r="HT8" s="4" t="str">
        <f t="shared" si="13"/>
        <v/>
      </c>
      <c r="HU8" s="4" t="str">
        <f t="shared" si="14"/>
        <v/>
      </c>
      <c r="HV8" s="4" t="str">
        <f t="shared" si="15"/>
        <v/>
      </c>
      <c r="HW8" s="4" t="str">
        <f t="shared" si="16"/>
        <v/>
      </c>
      <c r="HX8" s="4" t="str">
        <f t="shared" si="17"/>
        <v/>
      </c>
      <c r="HY8" s="4" t="str">
        <f t="shared" si="18"/>
        <v/>
      </c>
      <c r="HZ8" s="4" t="str">
        <f t="shared" si="19"/>
        <v/>
      </c>
      <c r="IA8" s="4" t="str">
        <f t="shared" si="20"/>
        <v/>
      </c>
      <c r="IB8" s="4" t="str">
        <f t="shared" si="21"/>
        <v/>
      </c>
      <c r="IC8" s="4" t="str">
        <f t="shared" si="22"/>
        <v/>
      </c>
      <c r="ID8" s="4" t="str">
        <f t="shared" si="23"/>
        <v/>
      </c>
      <c r="IE8" s="4" t="str">
        <f t="shared" si="24"/>
        <v/>
      </c>
      <c r="IF8" s="4" t="str">
        <f t="shared" si="25"/>
        <v/>
      </c>
      <c r="IG8" s="4" t="str">
        <f t="shared" si="26"/>
        <v/>
      </c>
      <c r="IH8" s="4" t="str">
        <f t="shared" si="27"/>
        <v/>
      </c>
      <c r="II8" s="4" t="str">
        <f t="shared" si="28"/>
        <v/>
      </c>
      <c r="IJ8" s="4" t="str">
        <f t="shared" si="29"/>
        <v/>
      </c>
      <c r="IK8" s="4" t="str">
        <f t="shared" si="30"/>
        <v/>
      </c>
      <c r="IL8" s="4" t="str">
        <f t="shared" si="31"/>
        <v/>
      </c>
      <c r="IM8" s="4" t="str">
        <f t="shared" si="32"/>
        <v/>
      </c>
      <c r="IN8" s="4" t="str">
        <f t="shared" si="33"/>
        <v/>
      </c>
      <c r="IO8" s="4" t="str">
        <f t="shared" si="34"/>
        <v/>
      </c>
      <c r="IP8" s="4" t="str">
        <f t="shared" si="35"/>
        <v/>
      </c>
      <c r="IQ8" s="4" t="str">
        <f t="shared" si="36"/>
        <v/>
      </c>
      <c r="IR8" s="4" t="str">
        <f t="shared" si="37"/>
        <v/>
      </c>
      <c r="IS8" s="4" t="str">
        <f t="shared" si="38"/>
        <v/>
      </c>
      <c r="IT8" s="4" t="str">
        <f t="shared" si="39"/>
        <v/>
      </c>
      <c r="IU8" s="4" t="str">
        <f t="shared" si="40"/>
        <v/>
      </c>
      <c r="IV8" s="4" t="str">
        <f t="shared" si="41"/>
        <v/>
      </c>
      <c r="IW8" s="4" t="str">
        <f t="shared" si="42"/>
        <v/>
      </c>
      <c r="IX8" s="4" t="str">
        <f t="shared" si="43"/>
        <v/>
      </c>
      <c r="IY8" s="4" t="str">
        <f t="shared" si="44"/>
        <v/>
      </c>
      <c r="IZ8" s="4" t="str">
        <f t="shared" si="45"/>
        <v/>
      </c>
      <c r="JA8" s="4" t="str">
        <f t="shared" ref="JA8:JB8" si="224">if(ISERROR(SEARCH("Higher Education",BB8)),"","810")</f>
        <v/>
      </c>
      <c r="JB8" s="4" t="str">
        <f t="shared" si="224"/>
        <v/>
      </c>
      <c r="JC8" s="4" t="str">
        <f t="shared" si="47"/>
        <v/>
      </c>
      <c r="JD8" s="4" t="str">
        <f t="shared" si="48"/>
        <v/>
      </c>
      <c r="JE8" s="4" t="str">
        <f t="shared" si="49"/>
        <v/>
      </c>
      <c r="JF8" s="4" t="str">
        <f t="shared" si="50"/>
        <v/>
      </c>
      <c r="JG8" s="4" t="str">
        <f t="shared" si="51"/>
        <v/>
      </c>
      <c r="JH8" s="4" t="str">
        <f t="shared" si="52"/>
        <v/>
      </c>
      <c r="JI8" s="4" t="str">
        <f t="shared" si="53"/>
        <v/>
      </c>
      <c r="JJ8" s="4" t="str">
        <f t="shared" si="54"/>
        <v/>
      </c>
      <c r="JK8" s="4" t="str">
        <f t="shared" si="55"/>
        <v/>
      </c>
      <c r="JL8" s="4" t="str">
        <f t="shared" si="56"/>
        <v/>
      </c>
      <c r="JM8" s="4" t="str">
        <f t="shared" si="57"/>
        <v/>
      </c>
      <c r="JN8" s="4" t="str">
        <f t="shared" si="58"/>
        <v/>
      </c>
      <c r="JO8" s="4" t="str">
        <f t="shared" si="59"/>
        <v/>
      </c>
      <c r="JP8" s="4" t="str">
        <f t="shared" si="60"/>
        <v/>
      </c>
      <c r="JQ8" s="4" t="str">
        <f t="shared" si="61"/>
        <v/>
      </c>
      <c r="JR8" s="4" t="str">
        <f t="shared" si="62"/>
        <v/>
      </c>
      <c r="JS8" s="4" t="str">
        <f t="shared" si="63"/>
        <v/>
      </c>
      <c r="JT8" s="4" t="str">
        <f t="shared" si="64"/>
        <v/>
      </c>
      <c r="JU8" s="4" t="str">
        <f t="shared" si="65"/>
        <v/>
      </c>
      <c r="JV8" s="4" t="str">
        <f t="shared" si="66"/>
        <v/>
      </c>
      <c r="JW8" s="4" t="str">
        <f t="shared" si="67"/>
        <v/>
      </c>
      <c r="JX8" s="4" t="str">
        <f t="shared" si="68"/>
        <v/>
      </c>
      <c r="JY8" s="4" t="str">
        <f t="shared" si="69"/>
        <v/>
      </c>
      <c r="JZ8" s="4" t="str">
        <f t="shared" si="70"/>
        <v/>
      </c>
      <c r="KA8" s="4" t="str">
        <f t="shared" si="71"/>
        <v/>
      </c>
      <c r="KB8" s="4" t="str">
        <f t="shared" si="72"/>
        <v/>
      </c>
      <c r="KC8" s="4" t="str">
        <f t="shared" si="73"/>
        <v/>
      </c>
      <c r="KD8" s="4" t="str">
        <f t="shared" si="74"/>
        <v/>
      </c>
      <c r="KE8" s="4" t="str">
        <f t="shared" si="75"/>
        <v/>
      </c>
      <c r="KF8" s="4" t="str">
        <f t="shared" si="76"/>
        <v/>
      </c>
      <c r="KG8" s="4" t="str">
        <f t="shared" si="77"/>
        <v/>
      </c>
      <c r="KH8" s="4" t="str">
        <f t="shared" si="78"/>
        <v/>
      </c>
      <c r="KI8" s="4" t="str">
        <f t="shared" si="79"/>
        <v/>
      </c>
      <c r="KJ8" s="4" t="str">
        <f t="shared" si="80"/>
        <v/>
      </c>
      <c r="KK8" s="4" t="str">
        <f t="shared" si="81"/>
        <v/>
      </c>
      <c r="KL8" s="4" t="str">
        <f t="shared" si="82"/>
        <v/>
      </c>
      <c r="KM8" s="4" t="str">
        <f t="shared" si="83"/>
        <v/>
      </c>
      <c r="KN8" s="4" t="str">
        <f t="shared" si="84"/>
        <v/>
      </c>
      <c r="KO8" s="4" t="str">
        <f t="shared" si="85"/>
        <v/>
      </c>
      <c r="KP8" s="4" t="str">
        <f t="shared" si="86"/>
        <v/>
      </c>
      <c r="KQ8" s="4" t="str">
        <f t="shared" si="87"/>
        <v/>
      </c>
      <c r="KR8" s="4" t="str">
        <f t="shared" si="88"/>
        <v/>
      </c>
      <c r="KS8" s="4" t="str">
        <f t="shared" si="89"/>
        <v/>
      </c>
      <c r="KT8" s="4" t="str">
        <f t="shared" si="90"/>
        <v/>
      </c>
      <c r="KU8" s="4" t="str">
        <f t="shared" si="91"/>
        <v/>
      </c>
      <c r="KV8" s="4" t="str">
        <f t="shared" si="92"/>
        <v/>
      </c>
      <c r="KW8" s="4" t="str">
        <f t="shared" si="93"/>
        <v/>
      </c>
      <c r="KX8" s="4" t="str">
        <f t="shared" si="94"/>
        <v/>
      </c>
      <c r="KY8" s="4" t="str">
        <f t="shared" si="95"/>
        <v/>
      </c>
      <c r="KZ8" s="4" t="str">
        <f t="shared" si="96"/>
        <v/>
      </c>
      <c r="LA8" s="4" t="str">
        <f t="shared" si="97"/>
        <v/>
      </c>
      <c r="LB8" s="4" t="str">
        <f t="shared" si="98"/>
        <v/>
      </c>
      <c r="LC8" s="4" t="str">
        <f t="shared" si="99"/>
        <v/>
      </c>
      <c r="LD8" s="4" t="str">
        <f t="shared" si="100"/>
        <v/>
      </c>
      <c r="LE8" s="4" t="str">
        <f t="shared" si="101"/>
        <v/>
      </c>
      <c r="LF8" s="4" t="str">
        <f t="shared" si="102"/>
        <v/>
      </c>
      <c r="LG8" s="4" t="str">
        <f t="shared" si="103"/>
        <v/>
      </c>
      <c r="LH8" s="4" t="str">
        <f t="shared" si="104"/>
        <v/>
      </c>
      <c r="LI8" s="4" t="str">
        <f t="shared" si="105"/>
        <v/>
      </c>
      <c r="LJ8" s="4" t="str">
        <f t="shared" si="106"/>
        <v/>
      </c>
      <c r="LK8" s="4" t="str">
        <f t="shared" si="107"/>
        <v/>
      </c>
      <c r="LL8" s="4" t="str">
        <f t="shared" si="108"/>
        <v/>
      </c>
      <c r="LM8" s="4" t="str">
        <f t="shared" si="109"/>
        <v/>
      </c>
      <c r="LN8" s="4" t="str">
        <f t="shared" si="110"/>
        <v/>
      </c>
      <c r="LO8" s="4" t="str">
        <f t="shared" si="111"/>
        <v/>
      </c>
      <c r="LP8" s="4" t="str">
        <f t="shared" si="112"/>
        <v/>
      </c>
      <c r="LQ8" s="4" t="str">
        <f t="shared" si="113"/>
        <v/>
      </c>
      <c r="LR8" s="4" t="str">
        <f t="shared" si="114"/>
        <v/>
      </c>
      <c r="LS8" s="4" t="str">
        <f t="shared" si="115"/>
        <v/>
      </c>
      <c r="LT8" s="4" t="str">
        <f t="shared" si="116"/>
        <v/>
      </c>
      <c r="LU8" s="4" t="str">
        <f t="shared" si="117"/>
        <v/>
      </c>
      <c r="LV8" s="4" t="str">
        <f t="shared" si="118"/>
        <v/>
      </c>
      <c r="LW8" s="4" t="str">
        <f t="shared" si="119"/>
        <v/>
      </c>
      <c r="LX8" s="4" t="str">
        <f t="shared" si="120"/>
        <v/>
      </c>
      <c r="LY8" s="4" t="str">
        <f t="shared" si="121"/>
        <v/>
      </c>
      <c r="LZ8" s="4" t="str">
        <f t="shared" si="122"/>
        <v/>
      </c>
      <c r="MA8" s="4" t="str">
        <f t="shared" si="123"/>
        <v/>
      </c>
      <c r="MB8" s="4" t="str">
        <f t="shared" si="124"/>
        <v/>
      </c>
      <c r="MC8" s="4" t="str">
        <f t="shared" si="125"/>
        <v/>
      </c>
      <c r="MD8" s="4" t="str">
        <f t="shared" si="126"/>
        <v/>
      </c>
      <c r="ME8" s="4" t="str">
        <f t="shared" si="127"/>
        <v/>
      </c>
      <c r="MF8" s="4" t="str">
        <f t="shared" si="128"/>
        <v/>
      </c>
      <c r="MG8" s="4" t="str">
        <f t="shared" si="129"/>
        <v/>
      </c>
      <c r="MH8" s="4" t="str">
        <f t="shared" si="130"/>
        <v/>
      </c>
      <c r="MI8" s="4" t="str">
        <f t="shared" si="131"/>
        <v/>
      </c>
      <c r="MJ8" s="4" t="str">
        <f t="shared" si="132"/>
        <v/>
      </c>
      <c r="MK8" s="4" t="str">
        <f t="shared" si="133"/>
        <v/>
      </c>
      <c r="ML8" s="4" t="str">
        <f t="shared" si="134"/>
        <v/>
      </c>
      <c r="MM8" s="4" t="str">
        <f t="shared" si="135"/>
        <v/>
      </c>
      <c r="MN8" s="4" t="str">
        <f t="shared" si="136"/>
        <v/>
      </c>
      <c r="MO8" s="4" t="str">
        <f t="shared" si="137"/>
        <v/>
      </c>
      <c r="MP8" s="4" t="str">
        <f t="shared" si="138"/>
        <v/>
      </c>
      <c r="MQ8" s="4" t="str">
        <f t="shared" si="139"/>
        <v/>
      </c>
      <c r="MR8" s="4" t="str">
        <f t="shared" si="140"/>
        <v/>
      </c>
      <c r="MS8" s="4" t="str">
        <f t="shared" si="141"/>
        <v/>
      </c>
      <c r="MT8" s="4" t="str">
        <f t="shared" si="142"/>
        <v/>
      </c>
      <c r="MU8" s="4" t="str">
        <f t="shared" si="143"/>
        <v/>
      </c>
      <c r="MV8" s="4" t="str">
        <f t="shared" si="144"/>
        <v/>
      </c>
      <c r="MW8" s="4" t="str">
        <f t="shared" si="145"/>
        <v/>
      </c>
      <c r="MX8" s="4" t="str">
        <f t="shared" si="146"/>
        <v/>
      </c>
      <c r="MY8" s="4" t="str">
        <f t="shared" si="147"/>
        <v/>
      </c>
      <c r="MZ8" s="4" t="str">
        <f t="shared" si="148"/>
        <v/>
      </c>
      <c r="NA8" s="4" t="str">
        <f t="shared" si="149"/>
        <v/>
      </c>
      <c r="NB8" s="4" t="str">
        <f t="shared" si="150"/>
        <v/>
      </c>
      <c r="NC8" s="4" t="str">
        <f t="shared" si="151"/>
        <v/>
      </c>
      <c r="ND8" s="4" t="str">
        <f t="shared" si="152"/>
        <v/>
      </c>
      <c r="NE8" s="4" t="str">
        <f t="shared" si="153"/>
        <v/>
      </c>
      <c r="NF8" s="4" t="str">
        <f t="shared" si="154"/>
        <v/>
      </c>
      <c r="NG8" s="4" t="str">
        <f t="shared" si="155"/>
        <v/>
      </c>
      <c r="NH8" s="4" t="str">
        <f t="shared" si="156"/>
        <v/>
      </c>
      <c r="NI8" s="4" t="str">
        <f t="shared" si="157"/>
        <v/>
      </c>
      <c r="NJ8" s="4" t="str">
        <f t="shared" si="158"/>
        <v/>
      </c>
      <c r="NK8" s="4" t="str">
        <f t="shared" si="159"/>
        <v/>
      </c>
      <c r="NL8" s="4" t="str">
        <f t="shared" si="160"/>
        <v/>
      </c>
      <c r="NM8" s="4" t="str">
        <f t="shared" si="161"/>
        <v/>
      </c>
      <c r="NN8" s="4" t="str">
        <f t="shared" si="162"/>
        <v/>
      </c>
      <c r="NO8" s="4" t="str">
        <f t="shared" si="163"/>
        <v/>
      </c>
      <c r="NP8" s="4" t="str">
        <f t="shared" si="164"/>
        <v/>
      </c>
      <c r="NQ8" s="4" t="str">
        <f t="shared" si="165"/>
        <v/>
      </c>
      <c r="NR8" s="4" t="str">
        <f t="shared" si="166"/>
        <v/>
      </c>
      <c r="NS8" s="4" t="str">
        <f t="shared" si="167"/>
        <v/>
      </c>
      <c r="NT8" s="4" t="str">
        <f t="shared" si="168"/>
        <v/>
      </c>
      <c r="NU8" s="4" t="str">
        <f t="shared" si="169"/>
        <v/>
      </c>
      <c r="NV8" s="4" t="str">
        <f t="shared" si="170"/>
        <v/>
      </c>
      <c r="NW8" s="4" t="str">
        <f t="shared" si="171"/>
        <v/>
      </c>
      <c r="NX8" s="4" t="str">
        <f t="shared" si="172"/>
        <v/>
      </c>
      <c r="NY8" s="4" t="str">
        <f t="shared" si="173"/>
        <v/>
      </c>
      <c r="NZ8" s="4" t="str">
        <f t="shared" si="174"/>
        <v/>
      </c>
      <c r="OA8" s="4" t="str">
        <f t="shared" si="175"/>
        <v/>
      </c>
      <c r="OB8" s="4" t="str">
        <f t="shared" si="176"/>
        <v/>
      </c>
      <c r="OC8" s="4" t="str">
        <f t="shared" si="177"/>
        <v/>
      </c>
      <c r="OD8" s="4" t="str">
        <f t="shared" si="178"/>
        <v/>
      </c>
      <c r="OE8" s="4" t="str">
        <f t="shared" si="179"/>
        <v/>
      </c>
      <c r="OF8" s="4" t="str">
        <f t="shared" si="180"/>
        <v/>
      </c>
      <c r="OG8" s="4" t="str">
        <f t="shared" si="181"/>
        <v/>
      </c>
      <c r="OH8" s="4" t="str">
        <f t="shared" si="182"/>
        <v/>
      </c>
      <c r="OI8" s="4" t="str">
        <f t="shared" si="183"/>
        <v/>
      </c>
      <c r="OJ8" s="4" t="str">
        <f t="shared" si="184"/>
        <v/>
      </c>
      <c r="OK8" s="4" t="str">
        <f t="shared" si="185"/>
        <v/>
      </c>
      <c r="OL8" s="4" t="str">
        <f t="shared" si="186"/>
        <v/>
      </c>
      <c r="OM8" s="4" t="str">
        <f t="shared" si="187"/>
        <v/>
      </c>
      <c r="ON8" s="4" t="str">
        <f t="shared" si="188"/>
        <v/>
      </c>
      <c r="OO8" s="4" t="str">
        <f t="shared" si="189"/>
        <v/>
      </c>
      <c r="OP8" s="4" t="str">
        <f t="shared" si="190"/>
        <v/>
      </c>
      <c r="OQ8" s="4" t="str">
        <f t="shared" si="191"/>
        <v/>
      </c>
      <c r="OR8" s="4" t="str">
        <f t="shared" si="192"/>
        <v/>
      </c>
      <c r="OS8" s="4" t="str">
        <f t="shared" si="193"/>
        <v/>
      </c>
      <c r="OT8" s="4" t="str">
        <f t="shared" si="194"/>
        <v/>
      </c>
      <c r="OU8" s="4" t="str">
        <f t="shared" si="195"/>
        <v/>
      </c>
      <c r="OV8" s="4" t="str">
        <f t="shared" si="196"/>
        <v/>
      </c>
      <c r="OW8" s="4" t="str">
        <f t="shared" si="197"/>
        <v/>
      </c>
      <c r="OX8" s="4" t="str">
        <f t="shared" si="198"/>
        <v/>
      </c>
      <c r="OY8" s="4" t="str">
        <f t="shared" si="199"/>
        <v/>
      </c>
      <c r="OZ8" s="4" t="str">
        <f t="shared" si="200"/>
        <v/>
      </c>
      <c r="PA8" s="4" t="str">
        <f t="shared" si="201"/>
        <v/>
      </c>
      <c r="PB8" s="4" t="str">
        <f t="shared" si="202"/>
        <v/>
      </c>
      <c r="PC8" s="4" t="str">
        <f t="shared" si="203"/>
        <v/>
      </c>
      <c r="PD8" s="4" t="str">
        <f t="shared" si="204"/>
        <v/>
      </c>
      <c r="PE8" s="4" t="str">
        <f t="shared" si="205"/>
        <v/>
      </c>
      <c r="PF8" s="4" t="str">
        <f t="shared" si="206"/>
        <v/>
      </c>
      <c r="PG8" s="4" t="str">
        <f t="shared" si="207"/>
        <v/>
      </c>
      <c r="PH8" s="4" t="str">
        <f t="shared" si="208"/>
        <v/>
      </c>
      <c r="PI8" s="4" t="str">
        <f t="shared" si="209"/>
        <v/>
      </c>
      <c r="PJ8" s="4" t="str">
        <f t="shared" si="210"/>
        <v/>
      </c>
      <c r="PK8" s="4" t="str">
        <f t="shared" si="211"/>
        <v/>
      </c>
      <c r="PL8" s="4" t="str">
        <f t="shared" si="212"/>
        <v/>
      </c>
      <c r="PM8" s="4" t="str">
        <f t="shared" si="213"/>
        <v/>
      </c>
      <c r="PN8" s="4" t="str">
        <f t="shared" si="214"/>
        <v/>
      </c>
      <c r="PO8" s="4" t="str">
        <f t="shared" si="215"/>
        <v/>
      </c>
      <c r="PP8" s="4" t="str">
        <f t="shared" si="216"/>
        <v/>
      </c>
      <c r="PQ8" s="4" t="str">
        <f t="shared" si="217"/>
        <v/>
      </c>
      <c r="PR8" s="4" t="str">
        <f t="shared" si="218"/>
        <v/>
      </c>
      <c r="PS8" s="4" t="str">
        <f t="shared" si="219"/>
        <v/>
      </c>
    </row>
    <row r="9">
      <c r="HI9" s="4" t="str">
        <f t="shared" si="2"/>
        <v/>
      </c>
      <c r="HJ9" s="4" t="str">
        <f t="shared" si="3"/>
        <v/>
      </c>
      <c r="HK9" s="4" t="str">
        <f t="shared" si="4"/>
        <v/>
      </c>
      <c r="HL9" s="4" t="str">
        <f t="shared" si="5"/>
        <v/>
      </c>
      <c r="HM9" s="4" t="str">
        <f t="shared" si="6"/>
        <v/>
      </c>
      <c r="HN9" s="4" t="str">
        <f t="shared" si="7"/>
        <v/>
      </c>
      <c r="HO9" s="4" t="str">
        <f t="shared" si="8"/>
        <v/>
      </c>
      <c r="HP9" s="4" t="str">
        <f t="shared" si="9"/>
        <v/>
      </c>
      <c r="HQ9" s="4" t="str">
        <f t="shared" si="10"/>
        <v/>
      </c>
      <c r="HR9" s="4" t="str">
        <f t="shared" si="11"/>
        <v/>
      </c>
      <c r="HS9" s="4" t="str">
        <f t="shared" si="12"/>
        <v/>
      </c>
      <c r="HT9" s="4" t="str">
        <f t="shared" si="13"/>
        <v/>
      </c>
      <c r="HU9" s="4" t="str">
        <f t="shared" si="14"/>
        <v/>
      </c>
      <c r="HV9" s="4" t="str">
        <f t="shared" si="15"/>
        <v/>
      </c>
      <c r="HW9" s="4" t="str">
        <f t="shared" si="16"/>
        <v/>
      </c>
      <c r="HX9" s="4" t="str">
        <f t="shared" si="17"/>
        <v/>
      </c>
      <c r="HY9" s="4" t="str">
        <f t="shared" si="18"/>
        <v/>
      </c>
      <c r="HZ9" s="4" t="str">
        <f t="shared" si="19"/>
        <v/>
      </c>
      <c r="IA9" s="4" t="str">
        <f t="shared" si="20"/>
        <v/>
      </c>
      <c r="IB9" s="4" t="str">
        <f t="shared" si="21"/>
        <v/>
      </c>
      <c r="IC9" s="4" t="str">
        <f t="shared" si="22"/>
        <v/>
      </c>
      <c r="ID9" s="4" t="str">
        <f t="shared" si="23"/>
        <v/>
      </c>
      <c r="IE9" s="4" t="str">
        <f t="shared" si="24"/>
        <v/>
      </c>
      <c r="IF9" s="4" t="str">
        <f t="shared" si="25"/>
        <v/>
      </c>
      <c r="IG9" s="4" t="str">
        <f t="shared" si="26"/>
        <v/>
      </c>
      <c r="IH9" s="4" t="str">
        <f t="shared" si="27"/>
        <v/>
      </c>
      <c r="II9" s="4" t="str">
        <f t="shared" si="28"/>
        <v/>
      </c>
      <c r="IJ9" s="4" t="str">
        <f t="shared" si="29"/>
        <v/>
      </c>
      <c r="IK9" s="4" t="str">
        <f t="shared" si="30"/>
        <v/>
      </c>
      <c r="IL9" s="4" t="str">
        <f t="shared" si="31"/>
        <v/>
      </c>
      <c r="IM9" s="4" t="str">
        <f t="shared" si="32"/>
        <v/>
      </c>
      <c r="IN9" s="4" t="str">
        <f t="shared" si="33"/>
        <v/>
      </c>
      <c r="IO9" s="4" t="str">
        <f t="shared" si="34"/>
        <v/>
      </c>
      <c r="IP9" s="4" t="str">
        <f t="shared" si="35"/>
        <v/>
      </c>
      <c r="IQ9" s="4" t="str">
        <f t="shared" si="36"/>
        <v/>
      </c>
      <c r="IR9" s="4" t="str">
        <f t="shared" si="37"/>
        <v/>
      </c>
      <c r="IS9" s="4" t="str">
        <f t="shared" si="38"/>
        <v/>
      </c>
      <c r="IT9" s="4" t="str">
        <f t="shared" si="39"/>
        <v/>
      </c>
      <c r="IU9" s="4" t="str">
        <f t="shared" si="40"/>
        <v/>
      </c>
      <c r="IV9" s="4" t="str">
        <f t="shared" si="41"/>
        <v/>
      </c>
      <c r="IW9" s="4" t="str">
        <f t="shared" si="42"/>
        <v/>
      </c>
      <c r="IX9" s="4" t="str">
        <f t="shared" si="43"/>
        <v/>
      </c>
      <c r="IY9" s="4" t="str">
        <f t="shared" si="44"/>
        <v/>
      </c>
      <c r="IZ9" s="4" t="str">
        <f t="shared" si="45"/>
        <v/>
      </c>
      <c r="JA9" s="4" t="str">
        <f t="shared" ref="JA9:JB9" si="225">if(ISERROR(SEARCH("Higher Education",BB9)),"","810")</f>
        <v/>
      </c>
      <c r="JB9" s="4" t="str">
        <f t="shared" si="225"/>
        <v/>
      </c>
      <c r="JC9" s="4" t="str">
        <f t="shared" si="47"/>
        <v/>
      </c>
      <c r="JD9" s="4" t="str">
        <f t="shared" si="48"/>
        <v/>
      </c>
      <c r="JE9" s="4" t="str">
        <f t="shared" si="49"/>
        <v/>
      </c>
      <c r="JF9" s="4" t="str">
        <f t="shared" si="50"/>
        <v/>
      </c>
      <c r="JG9" s="4" t="str">
        <f t="shared" si="51"/>
        <v/>
      </c>
      <c r="JH9" s="4" t="str">
        <f t="shared" si="52"/>
        <v/>
      </c>
      <c r="JI9" s="4" t="str">
        <f t="shared" si="53"/>
        <v/>
      </c>
      <c r="JJ9" s="4" t="str">
        <f t="shared" si="54"/>
        <v/>
      </c>
      <c r="JK9" s="4" t="str">
        <f t="shared" si="55"/>
        <v/>
      </c>
      <c r="JL9" s="4" t="str">
        <f t="shared" si="56"/>
        <v/>
      </c>
      <c r="JM9" s="4" t="str">
        <f t="shared" si="57"/>
        <v/>
      </c>
      <c r="JN9" s="4" t="str">
        <f t="shared" si="58"/>
        <v/>
      </c>
      <c r="JO9" s="4" t="str">
        <f t="shared" si="59"/>
        <v/>
      </c>
      <c r="JP9" s="4" t="str">
        <f t="shared" si="60"/>
        <v/>
      </c>
      <c r="JQ9" s="4" t="str">
        <f t="shared" si="61"/>
        <v/>
      </c>
      <c r="JR9" s="4" t="str">
        <f t="shared" si="62"/>
        <v/>
      </c>
      <c r="JS9" s="4" t="str">
        <f t="shared" si="63"/>
        <v/>
      </c>
      <c r="JT9" s="4" t="str">
        <f t="shared" si="64"/>
        <v/>
      </c>
      <c r="JU9" s="4" t="str">
        <f t="shared" si="65"/>
        <v/>
      </c>
      <c r="JV9" s="4" t="str">
        <f t="shared" si="66"/>
        <v/>
      </c>
      <c r="JW9" s="4" t="str">
        <f t="shared" si="67"/>
        <v/>
      </c>
      <c r="JX9" s="4" t="str">
        <f t="shared" si="68"/>
        <v/>
      </c>
      <c r="JY9" s="4" t="str">
        <f t="shared" si="69"/>
        <v/>
      </c>
      <c r="JZ9" s="4" t="str">
        <f t="shared" si="70"/>
        <v/>
      </c>
      <c r="KA9" s="4" t="str">
        <f t="shared" si="71"/>
        <v/>
      </c>
      <c r="KB9" s="4" t="str">
        <f t="shared" si="72"/>
        <v/>
      </c>
      <c r="KC9" s="4" t="str">
        <f t="shared" si="73"/>
        <v/>
      </c>
      <c r="KD9" s="4" t="str">
        <f t="shared" si="74"/>
        <v/>
      </c>
      <c r="KE9" s="4" t="str">
        <f t="shared" si="75"/>
        <v/>
      </c>
      <c r="KF9" s="4" t="str">
        <f t="shared" si="76"/>
        <v/>
      </c>
      <c r="KG9" s="4" t="str">
        <f t="shared" si="77"/>
        <v/>
      </c>
      <c r="KH9" s="4" t="str">
        <f t="shared" si="78"/>
        <v/>
      </c>
      <c r="KI9" s="4" t="str">
        <f t="shared" si="79"/>
        <v/>
      </c>
      <c r="KJ9" s="4" t="str">
        <f t="shared" si="80"/>
        <v/>
      </c>
      <c r="KK9" s="4" t="str">
        <f t="shared" si="81"/>
        <v/>
      </c>
      <c r="KL9" s="4" t="str">
        <f t="shared" si="82"/>
        <v/>
      </c>
      <c r="KM9" s="4" t="str">
        <f t="shared" si="83"/>
        <v/>
      </c>
      <c r="KN9" s="4" t="str">
        <f t="shared" si="84"/>
        <v/>
      </c>
      <c r="KO9" s="4" t="str">
        <f t="shared" si="85"/>
        <v/>
      </c>
      <c r="KP9" s="4" t="str">
        <f t="shared" si="86"/>
        <v/>
      </c>
      <c r="KQ9" s="4" t="str">
        <f t="shared" si="87"/>
        <v/>
      </c>
      <c r="KR9" s="4" t="str">
        <f t="shared" si="88"/>
        <v/>
      </c>
      <c r="KS9" s="4" t="str">
        <f t="shared" si="89"/>
        <v/>
      </c>
      <c r="KT9" s="4" t="str">
        <f t="shared" si="90"/>
        <v/>
      </c>
      <c r="KU9" s="4" t="str">
        <f t="shared" si="91"/>
        <v/>
      </c>
      <c r="KV9" s="4" t="str">
        <f t="shared" si="92"/>
        <v/>
      </c>
      <c r="KW9" s="4" t="str">
        <f t="shared" si="93"/>
        <v/>
      </c>
      <c r="KX9" s="4" t="str">
        <f t="shared" si="94"/>
        <v/>
      </c>
      <c r="KY9" s="4" t="str">
        <f t="shared" si="95"/>
        <v/>
      </c>
      <c r="KZ9" s="4" t="str">
        <f t="shared" si="96"/>
        <v/>
      </c>
      <c r="LA9" s="4" t="str">
        <f t="shared" si="97"/>
        <v/>
      </c>
      <c r="LB9" s="4" t="str">
        <f t="shared" si="98"/>
        <v/>
      </c>
      <c r="LC9" s="4" t="str">
        <f t="shared" si="99"/>
        <v/>
      </c>
      <c r="LD9" s="4" t="str">
        <f t="shared" si="100"/>
        <v/>
      </c>
      <c r="LE9" s="4" t="str">
        <f t="shared" si="101"/>
        <v/>
      </c>
      <c r="LF9" s="4" t="str">
        <f t="shared" si="102"/>
        <v/>
      </c>
      <c r="LG9" s="4" t="str">
        <f t="shared" si="103"/>
        <v/>
      </c>
      <c r="LH9" s="4" t="str">
        <f t="shared" si="104"/>
        <v/>
      </c>
      <c r="LI9" s="4" t="str">
        <f t="shared" si="105"/>
        <v/>
      </c>
      <c r="LJ9" s="4" t="str">
        <f t="shared" si="106"/>
        <v/>
      </c>
      <c r="LK9" s="4" t="str">
        <f t="shared" si="107"/>
        <v/>
      </c>
      <c r="LL9" s="4" t="str">
        <f t="shared" si="108"/>
        <v/>
      </c>
      <c r="LM9" s="4" t="str">
        <f t="shared" si="109"/>
        <v/>
      </c>
      <c r="LN9" s="4" t="str">
        <f t="shared" si="110"/>
        <v/>
      </c>
      <c r="LO9" s="4" t="str">
        <f t="shared" si="111"/>
        <v/>
      </c>
      <c r="LP9" s="4" t="str">
        <f t="shared" si="112"/>
        <v/>
      </c>
      <c r="LQ9" s="4" t="str">
        <f t="shared" si="113"/>
        <v/>
      </c>
      <c r="LR9" s="4" t="str">
        <f t="shared" si="114"/>
        <v/>
      </c>
      <c r="LS9" s="4" t="str">
        <f t="shared" si="115"/>
        <v/>
      </c>
      <c r="LT9" s="4" t="str">
        <f t="shared" si="116"/>
        <v/>
      </c>
      <c r="LU9" s="4" t="str">
        <f t="shared" si="117"/>
        <v/>
      </c>
      <c r="LV9" s="4" t="str">
        <f t="shared" si="118"/>
        <v/>
      </c>
      <c r="LW9" s="4" t="str">
        <f t="shared" si="119"/>
        <v/>
      </c>
      <c r="LX9" s="4" t="str">
        <f t="shared" si="120"/>
        <v/>
      </c>
      <c r="LY9" s="4" t="str">
        <f t="shared" si="121"/>
        <v/>
      </c>
      <c r="LZ9" s="4" t="str">
        <f t="shared" si="122"/>
        <v/>
      </c>
      <c r="MA9" s="4" t="str">
        <f t="shared" si="123"/>
        <v/>
      </c>
      <c r="MB9" s="4" t="str">
        <f t="shared" si="124"/>
        <v/>
      </c>
      <c r="MC9" s="4" t="str">
        <f t="shared" si="125"/>
        <v/>
      </c>
      <c r="MD9" s="4" t="str">
        <f t="shared" si="126"/>
        <v/>
      </c>
      <c r="ME9" s="4" t="str">
        <f t="shared" si="127"/>
        <v/>
      </c>
      <c r="MF9" s="4" t="str">
        <f t="shared" si="128"/>
        <v/>
      </c>
      <c r="MG9" s="4" t="str">
        <f t="shared" si="129"/>
        <v/>
      </c>
      <c r="MH9" s="4" t="str">
        <f t="shared" si="130"/>
        <v/>
      </c>
      <c r="MI9" s="4" t="str">
        <f t="shared" si="131"/>
        <v/>
      </c>
      <c r="MJ9" s="4" t="str">
        <f t="shared" si="132"/>
        <v/>
      </c>
      <c r="MK9" s="4" t="str">
        <f t="shared" si="133"/>
        <v/>
      </c>
      <c r="ML9" s="4" t="str">
        <f t="shared" si="134"/>
        <v/>
      </c>
      <c r="MM9" s="4" t="str">
        <f t="shared" si="135"/>
        <v/>
      </c>
      <c r="MN9" s="4" t="str">
        <f t="shared" si="136"/>
        <v/>
      </c>
      <c r="MO9" s="4" t="str">
        <f t="shared" si="137"/>
        <v/>
      </c>
      <c r="MP9" s="4" t="str">
        <f t="shared" si="138"/>
        <v/>
      </c>
      <c r="MQ9" s="4" t="str">
        <f t="shared" si="139"/>
        <v/>
      </c>
      <c r="MR9" s="4" t="str">
        <f t="shared" si="140"/>
        <v/>
      </c>
      <c r="MS9" s="4" t="str">
        <f t="shared" si="141"/>
        <v/>
      </c>
      <c r="MT9" s="4" t="str">
        <f t="shared" si="142"/>
        <v/>
      </c>
      <c r="MU9" s="4" t="str">
        <f t="shared" si="143"/>
        <v/>
      </c>
      <c r="MV9" s="4" t="str">
        <f t="shared" si="144"/>
        <v/>
      </c>
      <c r="MW9" s="4" t="str">
        <f t="shared" si="145"/>
        <v/>
      </c>
      <c r="MX9" s="4" t="str">
        <f t="shared" si="146"/>
        <v/>
      </c>
      <c r="MY9" s="4" t="str">
        <f t="shared" si="147"/>
        <v/>
      </c>
      <c r="MZ9" s="4" t="str">
        <f t="shared" si="148"/>
        <v/>
      </c>
      <c r="NA9" s="4" t="str">
        <f t="shared" si="149"/>
        <v/>
      </c>
      <c r="NB9" s="4" t="str">
        <f t="shared" si="150"/>
        <v/>
      </c>
      <c r="NC9" s="4" t="str">
        <f t="shared" si="151"/>
        <v/>
      </c>
      <c r="ND9" s="4" t="str">
        <f t="shared" si="152"/>
        <v/>
      </c>
      <c r="NE9" s="4" t="str">
        <f t="shared" si="153"/>
        <v/>
      </c>
      <c r="NF9" s="4" t="str">
        <f t="shared" si="154"/>
        <v/>
      </c>
      <c r="NG9" s="4" t="str">
        <f t="shared" si="155"/>
        <v/>
      </c>
      <c r="NH9" s="4" t="str">
        <f t="shared" si="156"/>
        <v/>
      </c>
      <c r="NI9" s="4" t="str">
        <f t="shared" si="157"/>
        <v/>
      </c>
      <c r="NJ9" s="4" t="str">
        <f t="shared" si="158"/>
        <v/>
      </c>
      <c r="NK9" s="4" t="str">
        <f t="shared" si="159"/>
        <v/>
      </c>
      <c r="NL9" s="4" t="str">
        <f t="shared" si="160"/>
        <v/>
      </c>
      <c r="NM9" s="4" t="str">
        <f t="shared" si="161"/>
        <v/>
      </c>
      <c r="NN9" s="4" t="str">
        <f t="shared" si="162"/>
        <v/>
      </c>
      <c r="NO9" s="4" t="str">
        <f t="shared" si="163"/>
        <v/>
      </c>
      <c r="NP9" s="4" t="str">
        <f t="shared" si="164"/>
        <v/>
      </c>
      <c r="NQ9" s="4" t="str">
        <f t="shared" si="165"/>
        <v/>
      </c>
      <c r="NR9" s="4" t="str">
        <f t="shared" si="166"/>
        <v/>
      </c>
      <c r="NS9" s="4" t="str">
        <f t="shared" si="167"/>
        <v/>
      </c>
      <c r="NT9" s="4" t="str">
        <f t="shared" si="168"/>
        <v/>
      </c>
      <c r="NU9" s="4" t="str">
        <f t="shared" si="169"/>
        <v/>
      </c>
      <c r="NV9" s="4" t="str">
        <f t="shared" si="170"/>
        <v/>
      </c>
      <c r="NW9" s="4" t="str">
        <f t="shared" si="171"/>
        <v/>
      </c>
      <c r="NX9" s="4" t="str">
        <f t="shared" si="172"/>
        <v/>
      </c>
      <c r="NY9" s="4" t="str">
        <f t="shared" si="173"/>
        <v/>
      </c>
      <c r="NZ9" s="4" t="str">
        <f t="shared" si="174"/>
        <v/>
      </c>
      <c r="OA9" s="4" t="str">
        <f t="shared" si="175"/>
        <v/>
      </c>
      <c r="OB9" s="4" t="str">
        <f t="shared" si="176"/>
        <v/>
      </c>
      <c r="OC9" s="4" t="str">
        <f t="shared" si="177"/>
        <v/>
      </c>
      <c r="OD9" s="4" t="str">
        <f t="shared" si="178"/>
        <v/>
      </c>
      <c r="OE9" s="4" t="str">
        <f t="shared" si="179"/>
        <v/>
      </c>
      <c r="OF9" s="4" t="str">
        <f t="shared" si="180"/>
        <v/>
      </c>
      <c r="OG9" s="4" t="str">
        <f t="shared" si="181"/>
        <v/>
      </c>
      <c r="OH9" s="4" t="str">
        <f t="shared" si="182"/>
        <v/>
      </c>
      <c r="OI9" s="4" t="str">
        <f t="shared" si="183"/>
        <v/>
      </c>
      <c r="OJ9" s="4" t="str">
        <f t="shared" si="184"/>
        <v/>
      </c>
      <c r="OK9" s="4" t="str">
        <f t="shared" si="185"/>
        <v/>
      </c>
      <c r="OL9" s="4" t="str">
        <f t="shared" si="186"/>
        <v/>
      </c>
      <c r="OM9" s="4" t="str">
        <f t="shared" si="187"/>
        <v/>
      </c>
      <c r="ON9" s="4" t="str">
        <f t="shared" si="188"/>
        <v/>
      </c>
      <c r="OO9" s="4" t="str">
        <f t="shared" si="189"/>
        <v/>
      </c>
      <c r="OP9" s="4" t="str">
        <f t="shared" si="190"/>
        <v/>
      </c>
      <c r="OQ9" s="4" t="str">
        <f t="shared" si="191"/>
        <v/>
      </c>
      <c r="OR9" s="4" t="str">
        <f t="shared" si="192"/>
        <v/>
      </c>
      <c r="OS9" s="4" t="str">
        <f t="shared" si="193"/>
        <v/>
      </c>
      <c r="OT9" s="4" t="str">
        <f t="shared" si="194"/>
        <v/>
      </c>
      <c r="OU9" s="4" t="str">
        <f t="shared" si="195"/>
        <v/>
      </c>
      <c r="OV9" s="4" t="str">
        <f t="shared" si="196"/>
        <v/>
      </c>
      <c r="OW9" s="4" t="str">
        <f t="shared" si="197"/>
        <v/>
      </c>
      <c r="OX9" s="4" t="str">
        <f t="shared" si="198"/>
        <v/>
      </c>
      <c r="OY9" s="4" t="str">
        <f t="shared" si="199"/>
        <v/>
      </c>
      <c r="OZ9" s="4" t="str">
        <f t="shared" si="200"/>
        <v/>
      </c>
      <c r="PA9" s="4" t="str">
        <f t="shared" si="201"/>
        <v/>
      </c>
      <c r="PB9" s="4" t="str">
        <f t="shared" si="202"/>
        <v/>
      </c>
      <c r="PC9" s="4" t="str">
        <f t="shared" si="203"/>
        <v/>
      </c>
      <c r="PD9" s="4" t="str">
        <f t="shared" si="204"/>
        <v/>
      </c>
      <c r="PE9" s="4" t="str">
        <f t="shared" si="205"/>
        <v/>
      </c>
      <c r="PF9" s="4" t="str">
        <f t="shared" si="206"/>
        <v/>
      </c>
      <c r="PG9" s="4" t="str">
        <f t="shared" si="207"/>
        <v/>
      </c>
      <c r="PH9" s="4" t="str">
        <f t="shared" si="208"/>
        <v/>
      </c>
      <c r="PI9" s="4" t="str">
        <f t="shared" si="209"/>
        <v/>
      </c>
      <c r="PJ9" s="4" t="str">
        <f t="shared" si="210"/>
        <v/>
      </c>
      <c r="PK9" s="4" t="str">
        <f t="shared" si="211"/>
        <v/>
      </c>
      <c r="PL9" s="4" t="str">
        <f t="shared" si="212"/>
        <v/>
      </c>
      <c r="PM9" s="4" t="str">
        <f t="shared" si="213"/>
        <v/>
      </c>
      <c r="PN9" s="4" t="str">
        <f t="shared" si="214"/>
        <v/>
      </c>
      <c r="PO9" s="4" t="str">
        <f t="shared" si="215"/>
        <v/>
      </c>
      <c r="PP9" s="4" t="str">
        <f t="shared" si="216"/>
        <v/>
      </c>
      <c r="PQ9" s="4" t="str">
        <f t="shared" si="217"/>
        <v/>
      </c>
      <c r="PR9" s="4" t="str">
        <f t="shared" si="218"/>
        <v/>
      </c>
      <c r="PS9" s="4" t="str">
        <f t="shared" si="219"/>
        <v/>
      </c>
    </row>
    <row r="10">
      <c r="HI10" s="4" t="str">
        <f t="shared" si="2"/>
        <v/>
      </c>
      <c r="HJ10" s="4" t="str">
        <f t="shared" si="3"/>
        <v/>
      </c>
      <c r="HK10" s="4" t="str">
        <f t="shared" si="4"/>
        <v/>
      </c>
      <c r="HL10" s="4" t="str">
        <f t="shared" si="5"/>
        <v/>
      </c>
      <c r="HM10" s="4" t="str">
        <f t="shared" si="6"/>
        <v/>
      </c>
      <c r="HN10" s="4" t="str">
        <f t="shared" si="7"/>
        <v/>
      </c>
      <c r="HO10" s="4" t="str">
        <f t="shared" si="8"/>
        <v/>
      </c>
      <c r="HP10" s="4" t="str">
        <f t="shared" si="9"/>
        <v/>
      </c>
      <c r="HQ10" s="4" t="str">
        <f t="shared" si="10"/>
        <v/>
      </c>
      <c r="HR10" s="4" t="str">
        <f t="shared" si="11"/>
        <v/>
      </c>
      <c r="HS10" s="4" t="str">
        <f t="shared" si="12"/>
        <v/>
      </c>
      <c r="HT10" s="4" t="str">
        <f t="shared" si="13"/>
        <v/>
      </c>
      <c r="HU10" s="4" t="str">
        <f t="shared" si="14"/>
        <v/>
      </c>
      <c r="HV10" s="4" t="str">
        <f t="shared" si="15"/>
        <v/>
      </c>
      <c r="HW10" s="4" t="str">
        <f t="shared" si="16"/>
        <v/>
      </c>
      <c r="HX10" s="4" t="str">
        <f t="shared" si="17"/>
        <v/>
      </c>
      <c r="HY10" s="4" t="str">
        <f t="shared" si="18"/>
        <v/>
      </c>
      <c r="HZ10" s="4" t="str">
        <f t="shared" si="19"/>
        <v/>
      </c>
      <c r="IA10" s="4" t="str">
        <f t="shared" si="20"/>
        <v/>
      </c>
      <c r="IB10" s="4" t="str">
        <f t="shared" si="21"/>
        <v/>
      </c>
      <c r="IC10" s="4" t="str">
        <f t="shared" si="22"/>
        <v/>
      </c>
      <c r="ID10" s="4" t="str">
        <f t="shared" si="23"/>
        <v/>
      </c>
      <c r="IE10" s="4" t="str">
        <f t="shared" si="24"/>
        <v/>
      </c>
      <c r="IF10" s="4" t="str">
        <f t="shared" si="25"/>
        <v/>
      </c>
      <c r="IG10" s="4" t="str">
        <f t="shared" si="26"/>
        <v/>
      </c>
      <c r="IH10" s="4" t="str">
        <f t="shared" si="27"/>
        <v/>
      </c>
      <c r="II10" s="4" t="str">
        <f t="shared" si="28"/>
        <v/>
      </c>
      <c r="IJ10" s="4" t="str">
        <f t="shared" si="29"/>
        <v/>
      </c>
      <c r="IK10" s="4" t="str">
        <f t="shared" si="30"/>
        <v/>
      </c>
      <c r="IL10" s="4" t="str">
        <f t="shared" si="31"/>
        <v/>
      </c>
      <c r="IM10" s="4" t="str">
        <f t="shared" si="32"/>
        <v/>
      </c>
      <c r="IN10" s="4" t="str">
        <f t="shared" si="33"/>
        <v/>
      </c>
      <c r="IO10" s="4" t="str">
        <f t="shared" si="34"/>
        <v/>
      </c>
      <c r="IP10" s="4" t="str">
        <f t="shared" si="35"/>
        <v/>
      </c>
      <c r="IQ10" s="4" t="str">
        <f t="shared" si="36"/>
        <v/>
      </c>
      <c r="IR10" s="4" t="str">
        <f t="shared" si="37"/>
        <v/>
      </c>
      <c r="IS10" s="4" t="str">
        <f t="shared" si="38"/>
        <v/>
      </c>
      <c r="IT10" s="4" t="str">
        <f t="shared" si="39"/>
        <v/>
      </c>
      <c r="IU10" s="4" t="str">
        <f t="shared" si="40"/>
        <v/>
      </c>
      <c r="IV10" s="4" t="str">
        <f t="shared" si="41"/>
        <v/>
      </c>
      <c r="IW10" s="4" t="str">
        <f t="shared" si="42"/>
        <v/>
      </c>
      <c r="IX10" s="4" t="str">
        <f t="shared" si="43"/>
        <v/>
      </c>
      <c r="IY10" s="4" t="str">
        <f t="shared" si="44"/>
        <v/>
      </c>
      <c r="IZ10" s="4" t="str">
        <f t="shared" si="45"/>
        <v/>
      </c>
      <c r="JA10" s="4" t="str">
        <f t="shared" ref="JA10:JB10" si="226">if(ISERROR(SEARCH("Higher Education",BB10)),"","810")</f>
        <v/>
      </c>
      <c r="JB10" s="4" t="str">
        <f t="shared" si="226"/>
        <v/>
      </c>
      <c r="JC10" s="4" t="str">
        <f t="shared" si="47"/>
        <v/>
      </c>
      <c r="JD10" s="4" t="str">
        <f t="shared" si="48"/>
        <v/>
      </c>
      <c r="JE10" s="4" t="str">
        <f t="shared" si="49"/>
        <v/>
      </c>
      <c r="JF10" s="4" t="str">
        <f t="shared" si="50"/>
        <v/>
      </c>
      <c r="JG10" s="4" t="str">
        <f t="shared" si="51"/>
        <v/>
      </c>
      <c r="JH10" s="4" t="str">
        <f t="shared" si="52"/>
        <v/>
      </c>
      <c r="JI10" s="4" t="str">
        <f t="shared" si="53"/>
        <v/>
      </c>
      <c r="JJ10" s="4" t="str">
        <f t="shared" si="54"/>
        <v/>
      </c>
      <c r="JK10" s="4" t="str">
        <f t="shared" si="55"/>
        <v/>
      </c>
      <c r="JL10" s="4" t="str">
        <f t="shared" si="56"/>
        <v/>
      </c>
      <c r="JM10" s="4" t="str">
        <f t="shared" si="57"/>
        <v/>
      </c>
      <c r="JN10" s="4" t="str">
        <f t="shared" si="58"/>
        <v/>
      </c>
      <c r="JO10" s="4" t="str">
        <f t="shared" si="59"/>
        <v/>
      </c>
      <c r="JP10" s="4" t="str">
        <f t="shared" si="60"/>
        <v/>
      </c>
      <c r="JQ10" s="4" t="str">
        <f t="shared" si="61"/>
        <v/>
      </c>
      <c r="JR10" s="4" t="str">
        <f t="shared" si="62"/>
        <v/>
      </c>
      <c r="JS10" s="4" t="str">
        <f t="shared" si="63"/>
        <v/>
      </c>
      <c r="JT10" s="4" t="str">
        <f t="shared" si="64"/>
        <v/>
      </c>
      <c r="JU10" s="4" t="str">
        <f t="shared" si="65"/>
        <v/>
      </c>
      <c r="JV10" s="4" t="str">
        <f t="shared" si="66"/>
        <v/>
      </c>
      <c r="JW10" s="4" t="str">
        <f t="shared" si="67"/>
        <v/>
      </c>
      <c r="JX10" s="4" t="str">
        <f t="shared" si="68"/>
        <v/>
      </c>
      <c r="JY10" s="4" t="str">
        <f t="shared" si="69"/>
        <v/>
      </c>
      <c r="JZ10" s="4" t="str">
        <f t="shared" si="70"/>
        <v/>
      </c>
      <c r="KA10" s="4" t="str">
        <f t="shared" si="71"/>
        <v/>
      </c>
      <c r="KB10" s="4" t="str">
        <f t="shared" si="72"/>
        <v/>
      </c>
      <c r="KC10" s="4" t="str">
        <f t="shared" si="73"/>
        <v/>
      </c>
      <c r="KD10" s="4" t="str">
        <f t="shared" si="74"/>
        <v/>
      </c>
      <c r="KE10" s="4" t="str">
        <f t="shared" si="75"/>
        <v/>
      </c>
      <c r="KF10" s="4" t="str">
        <f t="shared" si="76"/>
        <v/>
      </c>
      <c r="KG10" s="4" t="str">
        <f t="shared" si="77"/>
        <v/>
      </c>
      <c r="KH10" s="4" t="str">
        <f t="shared" si="78"/>
        <v/>
      </c>
      <c r="KI10" s="4" t="str">
        <f t="shared" si="79"/>
        <v/>
      </c>
      <c r="KJ10" s="4" t="str">
        <f t="shared" si="80"/>
        <v/>
      </c>
      <c r="KK10" s="4" t="str">
        <f t="shared" si="81"/>
        <v/>
      </c>
      <c r="KL10" s="4" t="str">
        <f t="shared" si="82"/>
        <v/>
      </c>
      <c r="KM10" s="4" t="str">
        <f t="shared" si="83"/>
        <v/>
      </c>
      <c r="KN10" s="4" t="str">
        <f t="shared" si="84"/>
        <v/>
      </c>
      <c r="KO10" s="4" t="str">
        <f t="shared" si="85"/>
        <v/>
      </c>
      <c r="KP10" s="4" t="str">
        <f t="shared" si="86"/>
        <v/>
      </c>
      <c r="KQ10" s="4" t="str">
        <f t="shared" si="87"/>
        <v/>
      </c>
      <c r="KR10" s="4" t="str">
        <f t="shared" si="88"/>
        <v/>
      </c>
      <c r="KS10" s="4" t="str">
        <f t="shared" si="89"/>
        <v/>
      </c>
      <c r="KT10" s="4" t="str">
        <f t="shared" si="90"/>
        <v/>
      </c>
      <c r="KU10" s="4" t="str">
        <f t="shared" si="91"/>
        <v/>
      </c>
      <c r="KV10" s="4" t="str">
        <f t="shared" si="92"/>
        <v/>
      </c>
      <c r="KW10" s="4" t="str">
        <f t="shared" si="93"/>
        <v/>
      </c>
      <c r="KX10" s="4" t="str">
        <f t="shared" si="94"/>
        <v/>
      </c>
      <c r="KY10" s="4" t="str">
        <f t="shared" si="95"/>
        <v/>
      </c>
      <c r="KZ10" s="4" t="str">
        <f t="shared" si="96"/>
        <v/>
      </c>
      <c r="LA10" s="4" t="str">
        <f t="shared" si="97"/>
        <v/>
      </c>
      <c r="LB10" s="4" t="str">
        <f t="shared" si="98"/>
        <v/>
      </c>
      <c r="LC10" s="4" t="str">
        <f t="shared" si="99"/>
        <v/>
      </c>
      <c r="LD10" s="4" t="str">
        <f t="shared" si="100"/>
        <v/>
      </c>
      <c r="LE10" s="4" t="str">
        <f t="shared" si="101"/>
        <v/>
      </c>
      <c r="LF10" s="4" t="str">
        <f t="shared" si="102"/>
        <v/>
      </c>
      <c r="LG10" s="4" t="str">
        <f t="shared" si="103"/>
        <v/>
      </c>
      <c r="LH10" s="4" t="str">
        <f t="shared" si="104"/>
        <v/>
      </c>
      <c r="LI10" s="4" t="str">
        <f t="shared" si="105"/>
        <v/>
      </c>
      <c r="LJ10" s="4" t="str">
        <f t="shared" si="106"/>
        <v/>
      </c>
      <c r="LK10" s="4" t="str">
        <f t="shared" si="107"/>
        <v/>
      </c>
      <c r="LL10" s="4" t="str">
        <f t="shared" si="108"/>
        <v/>
      </c>
      <c r="LM10" s="4" t="str">
        <f t="shared" si="109"/>
        <v/>
      </c>
      <c r="LN10" s="4" t="str">
        <f t="shared" si="110"/>
        <v/>
      </c>
      <c r="LO10" s="4" t="str">
        <f t="shared" si="111"/>
        <v/>
      </c>
      <c r="LP10" s="4" t="str">
        <f t="shared" si="112"/>
        <v/>
      </c>
      <c r="LQ10" s="4" t="str">
        <f t="shared" si="113"/>
        <v/>
      </c>
      <c r="LR10" s="4" t="str">
        <f t="shared" si="114"/>
        <v/>
      </c>
      <c r="LS10" s="4" t="str">
        <f t="shared" si="115"/>
        <v/>
      </c>
      <c r="LT10" s="4" t="str">
        <f t="shared" si="116"/>
        <v/>
      </c>
      <c r="LU10" s="4" t="str">
        <f t="shared" si="117"/>
        <v/>
      </c>
      <c r="LV10" s="4" t="str">
        <f t="shared" si="118"/>
        <v/>
      </c>
      <c r="LW10" s="4" t="str">
        <f t="shared" si="119"/>
        <v/>
      </c>
      <c r="LX10" s="4" t="str">
        <f t="shared" si="120"/>
        <v/>
      </c>
      <c r="LY10" s="4" t="str">
        <f t="shared" si="121"/>
        <v/>
      </c>
      <c r="LZ10" s="4" t="str">
        <f t="shared" si="122"/>
        <v/>
      </c>
      <c r="MA10" s="4" t="str">
        <f t="shared" si="123"/>
        <v/>
      </c>
      <c r="MB10" s="4" t="str">
        <f t="shared" si="124"/>
        <v/>
      </c>
      <c r="MC10" s="4" t="str">
        <f t="shared" si="125"/>
        <v/>
      </c>
      <c r="MD10" s="4" t="str">
        <f t="shared" si="126"/>
        <v/>
      </c>
      <c r="ME10" s="4" t="str">
        <f t="shared" si="127"/>
        <v/>
      </c>
      <c r="MF10" s="4" t="str">
        <f t="shared" si="128"/>
        <v/>
      </c>
      <c r="MG10" s="4" t="str">
        <f t="shared" si="129"/>
        <v/>
      </c>
      <c r="MH10" s="4" t="str">
        <f t="shared" si="130"/>
        <v/>
      </c>
      <c r="MI10" s="4" t="str">
        <f t="shared" si="131"/>
        <v/>
      </c>
      <c r="MJ10" s="4" t="str">
        <f t="shared" si="132"/>
        <v/>
      </c>
      <c r="MK10" s="4" t="str">
        <f t="shared" si="133"/>
        <v/>
      </c>
      <c r="ML10" s="4" t="str">
        <f t="shared" si="134"/>
        <v/>
      </c>
      <c r="MM10" s="4" t="str">
        <f t="shared" si="135"/>
        <v/>
      </c>
      <c r="MN10" s="4" t="str">
        <f t="shared" si="136"/>
        <v/>
      </c>
      <c r="MO10" s="4" t="str">
        <f t="shared" si="137"/>
        <v/>
      </c>
      <c r="MP10" s="4" t="str">
        <f t="shared" si="138"/>
        <v/>
      </c>
      <c r="MQ10" s="4" t="str">
        <f t="shared" si="139"/>
        <v/>
      </c>
      <c r="MR10" s="4" t="str">
        <f t="shared" si="140"/>
        <v/>
      </c>
      <c r="MS10" s="4" t="str">
        <f t="shared" si="141"/>
        <v/>
      </c>
      <c r="MT10" s="4" t="str">
        <f t="shared" si="142"/>
        <v/>
      </c>
      <c r="MU10" s="4" t="str">
        <f t="shared" si="143"/>
        <v/>
      </c>
      <c r="MV10" s="4" t="str">
        <f t="shared" si="144"/>
        <v/>
      </c>
      <c r="MW10" s="4" t="str">
        <f t="shared" si="145"/>
        <v/>
      </c>
      <c r="MX10" s="4" t="str">
        <f t="shared" si="146"/>
        <v/>
      </c>
      <c r="MY10" s="4" t="str">
        <f t="shared" si="147"/>
        <v/>
      </c>
      <c r="MZ10" s="4" t="str">
        <f t="shared" si="148"/>
        <v/>
      </c>
      <c r="NA10" s="4" t="str">
        <f t="shared" si="149"/>
        <v/>
      </c>
      <c r="NB10" s="4" t="str">
        <f t="shared" si="150"/>
        <v/>
      </c>
      <c r="NC10" s="4" t="str">
        <f t="shared" si="151"/>
        <v/>
      </c>
      <c r="ND10" s="4" t="str">
        <f t="shared" si="152"/>
        <v/>
      </c>
      <c r="NE10" s="4" t="str">
        <f t="shared" si="153"/>
        <v/>
      </c>
      <c r="NF10" s="4" t="str">
        <f t="shared" si="154"/>
        <v/>
      </c>
      <c r="NG10" s="4" t="str">
        <f t="shared" si="155"/>
        <v/>
      </c>
      <c r="NH10" s="4" t="str">
        <f t="shared" si="156"/>
        <v/>
      </c>
      <c r="NI10" s="4" t="str">
        <f t="shared" si="157"/>
        <v/>
      </c>
      <c r="NJ10" s="4" t="str">
        <f t="shared" si="158"/>
        <v/>
      </c>
      <c r="NK10" s="4" t="str">
        <f t="shared" si="159"/>
        <v/>
      </c>
      <c r="NL10" s="4" t="str">
        <f t="shared" si="160"/>
        <v/>
      </c>
      <c r="NM10" s="4" t="str">
        <f t="shared" si="161"/>
        <v/>
      </c>
      <c r="NN10" s="4" t="str">
        <f t="shared" si="162"/>
        <v/>
      </c>
      <c r="NO10" s="4" t="str">
        <f t="shared" si="163"/>
        <v/>
      </c>
      <c r="NP10" s="4" t="str">
        <f t="shared" si="164"/>
        <v/>
      </c>
      <c r="NQ10" s="4" t="str">
        <f t="shared" si="165"/>
        <v/>
      </c>
      <c r="NR10" s="4" t="str">
        <f t="shared" si="166"/>
        <v/>
      </c>
      <c r="NS10" s="4" t="str">
        <f t="shared" si="167"/>
        <v/>
      </c>
      <c r="NT10" s="4" t="str">
        <f t="shared" si="168"/>
        <v/>
      </c>
      <c r="NU10" s="4" t="str">
        <f t="shared" si="169"/>
        <v/>
      </c>
      <c r="NV10" s="4" t="str">
        <f t="shared" si="170"/>
        <v/>
      </c>
      <c r="NW10" s="4" t="str">
        <f t="shared" si="171"/>
        <v/>
      </c>
      <c r="NX10" s="4" t="str">
        <f t="shared" si="172"/>
        <v/>
      </c>
      <c r="NY10" s="4" t="str">
        <f t="shared" si="173"/>
        <v/>
      </c>
      <c r="NZ10" s="4" t="str">
        <f t="shared" si="174"/>
        <v/>
      </c>
      <c r="OA10" s="4" t="str">
        <f t="shared" si="175"/>
        <v/>
      </c>
      <c r="OB10" s="4" t="str">
        <f t="shared" si="176"/>
        <v/>
      </c>
      <c r="OC10" s="4" t="str">
        <f t="shared" si="177"/>
        <v/>
      </c>
      <c r="OD10" s="4" t="str">
        <f t="shared" si="178"/>
        <v/>
      </c>
      <c r="OE10" s="4" t="str">
        <f t="shared" si="179"/>
        <v/>
      </c>
      <c r="OF10" s="4" t="str">
        <f t="shared" si="180"/>
        <v/>
      </c>
      <c r="OG10" s="4" t="str">
        <f t="shared" si="181"/>
        <v/>
      </c>
      <c r="OH10" s="4" t="str">
        <f t="shared" si="182"/>
        <v/>
      </c>
      <c r="OI10" s="4" t="str">
        <f t="shared" si="183"/>
        <v/>
      </c>
      <c r="OJ10" s="4" t="str">
        <f t="shared" si="184"/>
        <v/>
      </c>
      <c r="OK10" s="4" t="str">
        <f t="shared" si="185"/>
        <v/>
      </c>
      <c r="OL10" s="4" t="str">
        <f t="shared" si="186"/>
        <v/>
      </c>
      <c r="OM10" s="4" t="str">
        <f t="shared" si="187"/>
        <v/>
      </c>
      <c r="ON10" s="4" t="str">
        <f t="shared" si="188"/>
        <v/>
      </c>
      <c r="OO10" s="4" t="str">
        <f t="shared" si="189"/>
        <v/>
      </c>
      <c r="OP10" s="4" t="str">
        <f t="shared" si="190"/>
        <v/>
      </c>
      <c r="OQ10" s="4" t="str">
        <f t="shared" si="191"/>
        <v/>
      </c>
      <c r="OR10" s="4" t="str">
        <f t="shared" si="192"/>
        <v/>
      </c>
      <c r="OS10" s="4" t="str">
        <f t="shared" si="193"/>
        <v/>
      </c>
      <c r="OT10" s="4" t="str">
        <f t="shared" si="194"/>
        <v/>
      </c>
      <c r="OU10" s="4" t="str">
        <f t="shared" si="195"/>
        <v/>
      </c>
      <c r="OV10" s="4" t="str">
        <f t="shared" si="196"/>
        <v/>
      </c>
      <c r="OW10" s="4" t="str">
        <f t="shared" si="197"/>
        <v/>
      </c>
      <c r="OX10" s="4" t="str">
        <f t="shared" si="198"/>
        <v/>
      </c>
      <c r="OY10" s="4" t="str">
        <f t="shared" si="199"/>
        <v/>
      </c>
      <c r="OZ10" s="4" t="str">
        <f t="shared" si="200"/>
        <v/>
      </c>
      <c r="PA10" s="4" t="str">
        <f t="shared" si="201"/>
        <v/>
      </c>
      <c r="PB10" s="4" t="str">
        <f t="shared" si="202"/>
        <v/>
      </c>
      <c r="PC10" s="4" t="str">
        <f t="shared" si="203"/>
        <v/>
      </c>
      <c r="PD10" s="4" t="str">
        <f t="shared" si="204"/>
        <v/>
      </c>
      <c r="PE10" s="4" t="str">
        <f t="shared" si="205"/>
        <v/>
      </c>
      <c r="PF10" s="4" t="str">
        <f t="shared" si="206"/>
        <v/>
      </c>
      <c r="PG10" s="4" t="str">
        <f t="shared" si="207"/>
        <v/>
      </c>
      <c r="PH10" s="4" t="str">
        <f t="shared" si="208"/>
        <v/>
      </c>
      <c r="PI10" s="4" t="str">
        <f t="shared" si="209"/>
        <v/>
      </c>
      <c r="PJ10" s="4" t="str">
        <f t="shared" si="210"/>
        <v/>
      </c>
      <c r="PK10" s="4" t="str">
        <f t="shared" si="211"/>
        <v/>
      </c>
      <c r="PL10" s="4" t="str">
        <f t="shared" si="212"/>
        <v/>
      </c>
      <c r="PM10" s="4" t="str">
        <f t="shared" si="213"/>
        <v/>
      </c>
      <c r="PN10" s="4" t="str">
        <f t="shared" si="214"/>
        <v/>
      </c>
      <c r="PO10" s="4" t="str">
        <f t="shared" si="215"/>
        <v/>
      </c>
      <c r="PP10" s="4" t="str">
        <f t="shared" si="216"/>
        <v/>
      </c>
      <c r="PQ10" s="4" t="str">
        <f t="shared" si="217"/>
        <v/>
      </c>
      <c r="PR10" s="4" t="str">
        <f t="shared" si="218"/>
        <v/>
      </c>
      <c r="PS10" s="4" t="str">
        <f t="shared" si="219"/>
        <v/>
      </c>
    </row>
    <row r="11">
      <c r="HI11" s="4" t="str">
        <f t="shared" si="2"/>
        <v/>
      </c>
      <c r="HJ11" s="4" t="str">
        <f t="shared" si="3"/>
        <v/>
      </c>
      <c r="HK11" s="4" t="str">
        <f t="shared" si="4"/>
        <v/>
      </c>
      <c r="HL11" s="4" t="str">
        <f t="shared" si="5"/>
        <v/>
      </c>
      <c r="HM11" s="4" t="str">
        <f t="shared" si="6"/>
        <v/>
      </c>
      <c r="HN11" s="4" t="str">
        <f t="shared" si="7"/>
        <v/>
      </c>
      <c r="HO11" s="4" t="str">
        <f t="shared" si="8"/>
        <v/>
      </c>
      <c r="HP11" s="4" t="str">
        <f t="shared" si="9"/>
        <v/>
      </c>
      <c r="HQ11" s="4" t="str">
        <f t="shared" si="10"/>
        <v/>
      </c>
      <c r="HR11" s="4" t="str">
        <f t="shared" si="11"/>
        <v/>
      </c>
      <c r="HS11" s="4" t="str">
        <f t="shared" si="12"/>
        <v/>
      </c>
      <c r="HT11" s="4" t="str">
        <f t="shared" si="13"/>
        <v/>
      </c>
      <c r="HU11" s="4" t="str">
        <f t="shared" si="14"/>
        <v/>
      </c>
      <c r="HV11" s="4" t="str">
        <f t="shared" si="15"/>
        <v/>
      </c>
      <c r="HW11" s="4" t="str">
        <f t="shared" si="16"/>
        <v/>
      </c>
      <c r="HX11" s="4" t="str">
        <f t="shared" si="17"/>
        <v/>
      </c>
      <c r="HY11" s="4" t="str">
        <f t="shared" si="18"/>
        <v/>
      </c>
      <c r="HZ11" s="4" t="str">
        <f t="shared" si="19"/>
        <v/>
      </c>
      <c r="IA11" s="4" t="str">
        <f t="shared" si="20"/>
        <v/>
      </c>
      <c r="IB11" s="4" t="str">
        <f t="shared" si="21"/>
        <v/>
      </c>
      <c r="IC11" s="4" t="str">
        <f t="shared" si="22"/>
        <v/>
      </c>
      <c r="ID11" s="4" t="str">
        <f t="shared" si="23"/>
        <v/>
      </c>
      <c r="IE11" s="4" t="str">
        <f t="shared" si="24"/>
        <v/>
      </c>
      <c r="IF11" s="4" t="str">
        <f t="shared" si="25"/>
        <v/>
      </c>
      <c r="IG11" s="4" t="str">
        <f t="shared" si="26"/>
        <v/>
      </c>
      <c r="IH11" s="4" t="str">
        <f t="shared" si="27"/>
        <v/>
      </c>
      <c r="II11" s="4" t="str">
        <f t="shared" si="28"/>
        <v/>
      </c>
      <c r="IJ11" s="4" t="str">
        <f t="shared" si="29"/>
        <v/>
      </c>
      <c r="IK11" s="4" t="str">
        <f t="shared" si="30"/>
        <v/>
      </c>
      <c r="IL11" s="4" t="str">
        <f t="shared" si="31"/>
        <v/>
      </c>
      <c r="IM11" s="4" t="str">
        <f t="shared" si="32"/>
        <v/>
      </c>
      <c r="IN11" s="4" t="str">
        <f t="shared" si="33"/>
        <v/>
      </c>
      <c r="IO11" s="4" t="str">
        <f t="shared" si="34"/>
        <v/>
      </c>
      <c r="IP11" s="4" t="str">
        <f t="shared" si="35"/>
        <v/>
      </c>
      <c r="IQ11" s="4" t="str">
        <f t="shared" si="36"/>
        <v/>
      </c>
      <c r="IR11" s="4" t="str">
        <f t="shared" si="37"/>
        <v/>
      </c>
      <c r="IS11" s="4" t="str">
        <f t="shared" si="38"/>
        <v/>
      </c>
      <c r="IT11" s="4" t="str">
        <f t="shared" si="39"/>
        <v/>
      </c>
      <c r="IU11" s="4" t="str">
        <f t="shared" si="40"/>
        <v/>
      </c>
      <c r="IV11" s="4" t="str">
        <f t="shared" si="41"/>
        <v/>
      </c>
      <c r="IW11" s="4" t="str">
        <f t="shared" si="42"/>
        <v/>
      </c>
      <c r="IX11" s="4" t="str">
        <f t="shared" si="43"/>
        <v/>
      </c>
      <c r="IY11" s="4" t="str">
        <f t="shared" si="44"/>
        <v/>
      </c>
      <c r="IZ11" s="4" t="str">
        <f t="shared" si="45"/>
        <v/>
      </c>
      <c r="JA11" s="4" t="str">
        <f t="shared" ref="JA11:JB11" si="227">if(ISERROR(SEARCH("Higher Education",BB11)),"","810")</f>
        <v/>
      </c>
      <c r="JB11" s="4" t="str">
        <f t="shared" si="227"/>
        <v/>
      </c>
      <c r="JC11" s="4" t="str">
        <f t="shared" si="47"/>
        <v/>
      </c>
      <c r="JD11" s="4" t="str">
        <f t="shared" si="48"/>
        <v/>
      </c>
      <c r="JE11" s="4" t="str">
        <f t="shared" si="49"/>
        <v/>
      </c>
      <c r="JF11" s="4" t="str">
        <f t="shared" si="50"/>
        <v/>
      </c>
      <c r="JG11" s="4" t="str">
        <f t="shared" si="51"/>
        <v/>
      </c>
      <c r="JH11" s="4" t="str">
        <f t="shared" si="52"/>
        <v/>
      </c>
      <c r="JI11" s="4" t="str">
        <f t="shared" si="53"/>
        <v/>
      </c>
      <c r="JJ11" s="4" t="str">
        <f t="shared" si="54"/>
        <v/>
      </c>
      <c r="JK11" s="4" t="str">
        <f t="shared" si="55"/>
        <v/>
      </c>
      <c r="JL11" s="4" t="str">
        <f t="shared" si="56"/>
        <v/>
      </c>
      <c r="JM11" s="4" t="str">
        <f t="shared" si="57"/>
        <v/>
      </c>
      <c r="JN11" s="4" t="str">
        <f t="shared" si="58"/>
        <v/>
      </c>
      <c r="JO11" s="4" t="str">
        <f t="shared" si="59"/>
        <v/>
      </c>
      <c r="JP11" s="4" t="str">
        <f t="shared" si="60"/>
        <v/>
      </c>
      <c r="JQ11" s="4" t="str">
        <f t="shared" si="61"/>
        <v/>
      </c>
      <c r="JR11" s="4" t="str">
        <f t="shared" si="62"/>
        <v/>
      </c>
      <c r="JS11" s="4" t="str">
        <f t="shared" si="63"/>
        <v/>
      </c>
      <c r="JT11" s="4" t="str">
        <f t="shared" si="64"/>
        <v/>
      </c>
      <c r="JU11" s="4" t="str">
        <f t="shared" si="65"/>
        <v/>
      </c>
      <c r="JV11" s="4" t="str">
        <f t="shared" si="66"/>
        <v/>
      </c>
      <c r="JW11" s="4" t="str">
        <f t="shared" si="67"/>
        <v/>
      </c>
      <c r="JX11" s="4" t="str">
        <f t="shared" si="68"/>
        <v/>
      </c>
      <c r="JY11" s="4" t="str">
        <f t="shared" si="69"/>
        <v/>
      </c>
      <c r="JZ11" s="4" t="str">
        <f t="shared" si="70"/>
        <v/>
      </c>
      <c r="KA11" s="4" t="str">
        <f t="shared" si="71"/>
        <v/>
      </c>
      <c r="KB11" s="4" t="str">
        <f t="shared" si="72"/>
        <v/>
      </c>
      <c r="KC11" s="4" t="str">
        <f t="shared" si="73"/>
        <v/>
      </c>
      <c r="KD11" s="4" t="str">
        <f t="shared" si="74"/>
        <v/>
      </c>
      <c r="KE11" s="4" t="str">
        <f t="shared" si="75"/>
        <v/>
      </c>
      <c r="KF11" s="4" t="str">
        <f t="shared" si="76"/>
        <v/>
      </c>
      <c r="KG11" s="4" t="str">
        <f t="shared" si="77"/>
        <v/>
      </c>
      <c r="KH11" s="4" t="str">
        <f t="shared" si="78"/>
        <v/>
      </c>
      <c r="KI11" s="4" t="str">
        <f t="shared" si="79"/>
        <v/>
      </c>
      <c r="KJ11" s="4" t="str">
        <f t="shared" si="80"/>
        <v/>
      </c>
      <c r="KK11" s="4" t="str">
        <f t="shared" si="81"/>
        <v/>
      </c>
      <c r="KL11" s="4" t="str">
        <f t="shared" si="82"/>
        <v/>
      </c>
      <c r="KM11" s="4" t="str">
        <f t="shared" si="83"/>
        <v/>
      </c>
      <c r="KN11" s="4" t="str">
        <f t="shared" si="84"/>
        <v/>
      </c>
      <c r="KO11" s="4" t="str">
        <f t="shared" si="85"/>
        <v/>
      </c>
      <c r="KP11" s="4" t="str">
        <f t="shared" si="86"/>
        <v/>
      </c>
      <c r="KQ11" s="4" t="str">
        <f t="shared" si="87"/>
        <v/>
      </c>
      <c r="KR11" s="4" t="str">
        <f t="shared" si="88"/>
        <v/>
      </c>
      <c r="KS11" s="4" t="str">
        <f t="shared" si="89"/>
        <v/>
      </c>
      <c r="KT11" s="4" t="str">
        <f t="shared" si="90"/>
        <v/>
      </c>
      <c r="KU11" s="4" t="str">
        <f t="shared" si="91"/>
        <v/>
      </c>
      <c r="KV11" s="4" t="str">
        <f t="shared" si="92"/>
        <v/>
      </c>
      <c r="KW11" s="4" t="str">
        <f t="shared" si="93"/>
        <v/>
      </c>
      <c r="KX11" s="4" t="str">
        <f t="shared" si="94"/>
        <v/>
      </c>
      <c r="KY11" s="4" t="str">
        <f t="shared" si="95"/>
        <v/>
      </c>
      <c r="KZ11" s="4" t="str">
        <f t="shared" si="96"/>
        <v/>
      </c>
      <c r="LA11" s="4" t="str">
        <f t="shared" si="97"/>
        <v/>
      </c>
      <c r="LB11" s="4" t="str">
        <f t="shared" si="98"/>
        <v/>
      </c>
      <c r="LC11" s="4" t="str">
        <f t="shared" si="99"/>
        <v/>
      </c>
      <c r="LD11" s="4" t="str">
        <f t="shared" si="100"/>
        <v/>
      </c>
      <c r="LE11" s="4" t="str">
        <f t="shared" si="101"/>
        <v/>
      </c>
      <c r="LF11" s="4" t="str">
        <f t="shared" si="102"/>
        <v/>
      </c>
      <c r="LG11" s="4" t="str">
        <f t="shared" si="103"/>
        <v/>
      </c>
      <c r="LH11" s="4" t="str">
        <f t="shared" si="104"/>
        <v/>
      </c>
      <c r="LI11" s="4" t="str">
        <f t="shared" si="105"/>
        <v/>
      </c>
      <c r="LJ11" s="4" t="str">
        <f t="shared" si="106"/>
        <v/>
      </c>
      <c r="LK11" s="4" t="str">
        <f t="shared" si="107"/>
        <v/>
      </c>
      <c r="LL11" s="4" t="str">
        <f t="shared" si="108"/>
        <v/>
      </c>
      <c r="LM11" s="4" t="str">
        <f t="shared" si="109"/>
        <v/>
      </c>
      <c r="LN11" s="4" t="str">
        <f t="shared" si="110"/>
        <v/>
      </c>
      <c r="LO11" s="4" t="str">
        <f t="shared" si="111"/>
        <v/>
      </c>
      <c r="LP11" s="4" t="str">
        <f t="shared" si="112"/>
        <v/>
      </c>
      <c r="LQ11" s="4" t="str">
        <f t="shared" si="113"/>
        <v/>
      </c>
      <c r="LR11" s="4" t="str">
        <f t="shared" si="114"/>
        <v/>
      </c>
      <c r="LS11" s="4" t="str">
        <f t="shared" si="115"/>
        <v/>
      </c>
      <c r="LT11" s="4" t="str">
        <f t="shared" si="116"/>
        <v/>
      </c>
      <c r="LU11" s="4" t="str">
        <f t="shared" si="117"/>
        <v/>
      </c>
      <c r="LV11" s="4" t="str">
        <f t="shared" si="118"/>
        <v/>
      </c>
      <c r="LW11" s="4" t="str">
        <f t="shared" si="119"/>
        <v/>
      </c>
      <c r="LX11" s="4" t="str">
        <f t="shared" si="120"/>
        <v/>
      </c>
      <c r="LY11" s="4" t="str">
        <f t="shared" si="121"/>
        <v/>
      </c>
      <c r="LZ11" s="4" t="str">
        <f t="shared" si="122"/>
        <v/>
      </c>
      <c r="MA11" s="4" t="str">
        <f t="shared" si="123"/>
        <v/>
      </c>
      <c r="MB11" s="4" t="str">
        <f t="shared" si="124"/>
        <v/>
      </c>
      <c r="MC11" s="4" t="str">
        <f t="shared" si="125"/>
        <v/>
      </c>
      <c r="MD11" s="4" t="str">
        <f t="shared" si="126"/>
        <v/>
      </c>
      <c r="ME11" s="4" t="str">
        <f t="shared" si="127"/>
        <v/>
      </c>
      <c r="MF11" s="4" t="str">
        <f t="shared" si="128"/>
        <v/>
      </c>
      <c r="MG11" s="4" t="str">
        <f t="shared" si="129"/>
        <v/>
      </c>
      <c r="MH11" s="4" t="str">
        <f t="shared" si="130"/>
        <v/>
      </c>
      <c r="MI11" s="4" t="str">
        <f t="shared" si="131"/>
        <v/>
      </c>
      <c r="MJ11" s="4" t="str">
        <f t="shared" si="132"/>
        <v/>
      </c>
      <c r="MK11" s="4" t="str">
        <f t="shared" si="133"/>
        <v/>
      </c>
      <c r="ML11" s="4" t="str">
        <f t="shared" si="134"/>
        <v/>
      </c>
      <c r="MM11" s="4" t="str">
        <f t="shared" si="135"/>
        <v/>
      </c>
      <c r="MN11" s="4" t="str">
        <f t="shared" si="136"/>
        <v/>
      </c>
      <c r="MO11" s="4" t="str">
        <f t="shared" si="137"/>
        <v/>
      </c>
      <c r="MP11" s="4" t="str">
        <f t="shared" si="138"/>
        <v/>
      </c>
      <c r="MQ11" s="4" t="str">
        <f t="shared" si="139"/>
        <v/>
      </c>
      <c r="MR11" s="4" t="str">
        <f t="shared" si="140"/>
        <v/>
      </c>
      <c r="MS11" s="4" t="str">
        <f t="shared" si="141"/>
        <v/>
      </c>
      <c r="MT11" s="4" t="str">
        <f t="shared" si="142"/>
        <v/>
      </c>
      <c r="MU11" s="4" t="str">
        <f t="shared" si="143"/>
        <v/>
      </c>
      <c r="MV11" s="4" t="str">
        <f t="shared" si="144"/>
        <v/>
      </c>
      <c r="MW11" s="4" t="str">
        <f t="shared" si="145"/>
        <v/>
      </c>
      <c r="MX11" s="4" t="str">
        <f t="shared" si="146"/>
        <v/>
      </c>
      <c r="MY11" s="4" t="str">
        <f t="shared" si="147"/>
        <v/>
      </c>
      <c r="MZ11" s="4" t="str">
        <f t="shared" si="148"/>
        <v/>
      </c>
      <c r="NA11" s="4" t="str">
        <f t="shared" si="149"/>
        <v/>
      </c>
      <c r="NB11" s="4" t="str">
        <f t="shared" si="150"/>
        <v/>
      </c>
      <c r="NC11" s="4" t="str">
        <f t="shared" si="151"/>
        <v/>
      </c>
      <c r="ND11" s="4" t="str">
        <f t="shared" si="152"/>
        <v/>
      </c>
      <c r="NE11" s="4" t="str">
        <f t="shared" si="153"/>
        <v/>
      </c>
      <c r="NF11" s="4" t="str">
        <f t="shared" si="154"/>
        <v/>
      </c>
      <c r="NG11" s="4" t="str">
        <f t="shared" si="155"/>
        <v/>
      </c>
      <c r="NH11" s="4" t="str">
        <f t="shared" si="156"/>
        <v/>
      </c>
      <c r="NI11" s="4" t="str">
        <f t="shared" si="157"/>
        <v/>
      </c>
      <c r="NJ11" s="4" t="str">
        <f t="shared" si="158"/>
        <v/>
      </c>
      <c r="NK11" s="4" t="str">
        <f t="shared" si="159"/>
        <v/>
      </c>
      <c r="NL11" s="4" t="str">
        <f t="shared" si="160"/>
        <v/>
      </c>
      <c r="NM11" s="4" t="str">
        <f t="shared" si="161"/>
        <v/>
      </c>
      <c r="NN11" s="4" t="str">
        <f t="shared" si="162"/>
        <v/>
      </c>
      <c r="NO11" s="4" t="str">
        <f t="shared" si="163"/>
        <v/>
      </c>
      <c r="NP11" s="4" t="str">
        <f t="shared" si="164"/>
        <v/>
      </c>
      <c r="NQ11" s="4" t="str">
        <f t="shared" si="165"/>
        <v/>
      </c>
      <c r="NR11" s="4" t="str">
        <f t="shared" si="166"/>
        <v/>
      </c>
      <c r="NS11" s="4" t="str">
        <f t="shared" si="167"/>
        <v/>
      </c>
      <c r="NT11" s="4" t="str">
        <f t="shared" si="168"/>
        <v/>
      </c>
      <c r="NU11" s="4" t="str">
        <f t="shared" si="169"/>
        <v/>
      </c>
      <c r="NV11" s="4" t="str">
        <f t="shared" si="170"/>
        <v/>
      </c>
      <c r="NW11" s="4" t="str">
        <f t="shared" si="171"/>
        <v/>
      </c>
      <c r="NX11" s="4" t="str">
        <f t="shared" si="172"/>
        <v/>
      </c>
      <c r="NY11" s="4" t="str">
        <f t="shared" si="173"/>
        <v/>
      </c>
      <c r="NZ11" s="4" t="str">
        <f t="shared" si="174"/>
        <v/>
      </c>
      <c r="OA11" s="4" t="str">
        <f t="shared" si="175"/>
        <v/>
      </c>
      <c r="OB11" s="4" t="str">
        <f t="shared" si="176"/>
        <v/>
      </c>
      <c r="OC11" s="4" t="str">
        <f t="shared" si="177"/>
        <v/>
      </c>
      <c r="OD11" s="4" t="str">
        <f t="shared" si="178"/>
        <v/>
      </c>
      <c r="OE11" s="4" t="str">
        <f t="shared" si="179"/>
        <v/>
      </c>
      <c r="OF11" s="4" t="str">
        <f t="shared" si="180"/>
        <v/>
      </c>
      <c r="OG11" s="4" t="str">
        <f t="shared" si="181"/>
        <v/>
      </c>
      <c r="OH11" s="4" t="str">
        <f t="shared" si="182"/>
        <v/>
      </c>
      <c r="OI11" s="4" t="str">
        <f t="shared" si="183"/>
        <v/>
      </c>
      <c r="OJ11" s="4" t="str">
        <f t="shared" si="184"/>
        <v/>
      </c>
      <c r="OK11" s="4" t="str">
        <f t="shared" si="185"/>
        <v/>
      </c>
      <c r="OL11" s="4" t="str">
        <f t="shared" si="186"/>
        <v/>
      </c>
      <c r="OM11" s="4" t="str">
        <f t="shared" si="187"/>
        <v/>
      </c>
      <c r="ON11" s="4" t="str">
        <f t="shared" si="188"/>
        <v/>
      </c>
      <c r="OO11" s="4" t="str">
        <f t="shared" si="189"/>
        <v/>
      </c>
      <c r="OP11" s="4" t="str">
        <f t="shared" si="190"/>
        <v/>
      </c>
      <c r="OQ11" s="4" t="str">
        <f t="shared" si="191"/>
        <v/>
      </c>
      <c r="OR11" s="4" t="str">
        <f t="shared" si="192"/>
        <v/>
      </c>
      <c r="OS11" s="4" t="str">
        <f t="shared" si="193"/>
        <v/>
      </c>
      <c r="OT11" s="4" t="str">
        <f t="shared" si="194"/>
        <v/>
      </c>
      <c r="OU11" s="4" t="str">
        <f t="shared" si="195"/>
        <v/>
      </c>
      <c r="OV11" s="4" t="str">
        <f t="shared" si="196"/>
        <v/>
      </c>
      <c r="OW11" s="4" t="str">
        <f t="shared" si="197"/>
        <v/>
      </c>
      <c r="OX11" s="4" t="str">
        <f t="shared" si="198"/>
        <v/>
      </c>
      <c r="OY11" s="4" t="str">
        <f t="shared" si="199"/>
        <v/>
      </c>
      <c r="OZ11" s="4" t="str">
        <f t="shared" si="200"/>
        <v/>
      </c>
      <c r="PA11" s="4" t="str">
        <f t="shared" si="201"/>
        <v/>
      </c>
      <c r="PB11" s="4" t="str">
        <f t="shared" si="202"/>
        <v/>
      </c>
      <c r="PC11" s="4" t="str">
        <f t="shared" si="203"/>
        <v/>
      </c>
      <c r="PD11" s="4" t="str">
        <f t="shared" si="204"/>
        <v/>
      </c>
      <c r="PE11" s="4" t="str">
        <f t="shared" si="205"/>
        <v/>
      </c>
      <c r="PF11" s="4" t="str">
        <f t="shared" si="206"/>
        <v/>
      </c>
      <c r="PG11" s="4" t="str">
        <f t="shared" si="207"/>
        <v/>
      </c>
      <c r="PH11" s="4" t="str">
        <f t="shared" si="208"/>
        <v/>
      </c>
      <c r="PI11" s="4" t="str">
        <f t="shared" si="209"/>
        <v/>
      </c>
      <c r="PJ11" s="4" t="str">
        <f t="shared" si="210"/>
        <v/>
      </c>
      <c r="PK11" s="4" t="str">
        <f t="shared" si="211"/>
        <v/>
      </c>
      <c r="PL11" s="4" t="str">
        <f t="shared" si="212"/>
        <v/>
      </c>
      <c r="PM11" s="4" t="str">
        <f t="shared" si="213"/>
        <v/>
      </c>
      <c r="PN11" s="4" t="str">
        <f t="shared" si="214"/>
        <v/>
      </c>
      <c r="PO11" s="4" t="str">
        <f t="shared" si="215"/>
        <v/>
      </c>
      <c r="PP11" s="4" t="str">
        <f t="shared" si="216"/>
        <v/>
      </c>
      <c r="PQ11" s="4" t="str">
        <f t="shared" si="217"/>
        <v/>
      </c>
      <c r="PR11" s="4" t="str">
        <f t="shared" si="218"/>
        <v/>
      </c>
      <c r="PS11" s="4" t="str">
        <f t="shared" si="219"/>
        <v/>
      </c>
    </row>
    <row r="12">
      <c r="HI12" s="4" t="str">
        <f t="shared" si="2"/>
        <v/>
      </c>
      <c r="HJ12" s="4" t="str">
        <f t="shared" si="3"/>
        <v/>
      </c>
      <c r="HK12" s="4" t="str">
        <f t="shared" si="4"/>
        <v/>
      </c>
      <c r="HL12" s="4" t="str">
        <f t="shared" si="5"/>
        <v/>
      </c>
      <c r="HM12" s="4" t="str">
        <f t="shared" si="6"/>
        <v/>
      </c>
      <c r="HN12" s="4" t="str">
        <f t="shared" si="7"/>
        <v/>
      </c>
      <c r="HO12" s="4" t="str">
        <f t="shared" si="8"/>
        <v/>
      </c>
      <c r="HP12" s="4" t="str">
        <f t="shared" si="9"/>
        <v/>
      </c>
      <c r="HQ12" s="4" t="str">
        <f t="shared" si="10"/>
        <v/>
      </c>
      <c r="HR12" s="4" t="str">
        <f t="shared" si="11"/>
        <v/>
      </c>
      <c r="HS12" s="4" t="str">
        <f t="shared" si="12"/>
        <v/>
      </c>
      <c r="HT12" s="4" t="str">
        <f t="shared" si="13"/>
        <v/>
      </c>
      <c r="HU12" s="4" t="str">
        <f t="shared" si="14"/>
        <v/>
      </c>
      <c r="HV12" s="4" t="str">
        <f t="shared" si="15"/>
        <v/>
      </c>
      <c r="HW12" s="4" t="str">
        <f t="shared" si="16"/>
        <v/>
      </c>
      <c r="HX12" s="4" t="str">
        <f t="shared" si="17"/>
        <v/>
      </c>
      <c r="HY12" s="4" t="str">
        <f t="shared" si="18"/>
        <v/>
      </c>
      <c r="HZ12" s="4" t="str">
        <f t="shared" si="19"/>
        <v/>
      </c>
      <c r="IA12" s="4" t="str">
        <f t="shared" si="20"/>
        <v/>
      </c>
      <c r="IB12" s="4" t="str">
        <f t="shared" si="21"/>
        <v/>
      </c>
      <c r="IC12" s="4" t="str">
        <f t="shared" si="22"/>
        <v/>
      </c>
      <c r="ID12" s="4" t="str">
        <f t="shared" si="23"/>
        <v/>
      </c>
      <c r="IE12" s="4" t="str">
        <f t="shared" si="24"/>
        <v/>
      </c>
      <c r="IF12" s="4" t="str">
        <f t="shared" si="25"/>
        <v/>
      </c>
      <c r="IG12" s="4" t="str">
        <f t="shared" si="26"/>
        <v/>
      </c>
      <c r="IH12" s="4" t="str">
        <f t="shared" si="27"/>
        <v/>
      </c>
      <c r="II12" s="4" t="str">
        <f t="shared" si="28"/>
        <v/>
      </c>
      <c r="IJ12" s="4" t="str">
        <f t="shared" si="29"/>
        <v/>
      </c>
      <c r="IK12" s="4" t="str">
        <f t="shared" si="30"/>
        <v/>
      </c>
      <c r="IL12" s="4" t="str">
        <f t="shared" si="31"/>
        <v/>
      </c>
      <c r="IM12" s="4" t="str">
        <f t="shared" si="32"/>
        <v/>
      </c>
      <c r="IN12" s="4" t="str">
        <f t="shared" si="33"/>
        <v/>
      </c>
      <c r="IO12" s="4" t="str">
        <f t="shared" si="34"/>
        <v/>
      </c>
      <c r="IP12" s="4" t="str">
        <f t="shared" si="35"/>
        <v/>
      </c>
      <c r="IQ12" s="4" t="str">
        <f t="shared" si="36"/>
        <v/>
      </c>
      <c r="IR12" s="4" t="str">
        <f t="shared" si="37"/>
        <v/>
      </c>
      <c r="IS12" s="4" t="str">
        <f t="shared" si="38"/>
        <v/>
      </c>
      <c r="IT12" s="4" t="str">
        <f t="shared" si="39"/>
        <v/>
      </c>
      <c r="IU12" s="4" t="str">
        <f t="shared" si="40"/>
        <v/>
      </c>
      <c r="IV12" s="4" t="str">
        <f t="shared" si="41"/>
        <v/>
      </c>
      <c r="IW12" s="4" t="str">
        <f t="shared" si="42"/>
        <v/>
      </c>
      <c r="IX12" s="4" t="str">
        <f t="shared" si="43"/>
        <v/>
      </c>
      <c r="IY12" s="4" t="str">
        <f t="shared" si="44"/>
        <v/>
      </c>
      <c r="IZ12" s="4" t="str">
        <f t="shared" si="45"/>
        <v/>
      </c>
      <c r="JA12" s="4" t="str">
        <f t="shared" ref="JA12:JB12" si="228">if(ISERROR(SEARCH("Higher Education",BB12)),"","810")</f>
        <v/>
      </c>
      <c r="JB12" s="4" t="str">
        <f t="shared" si="228"/>
        <v/>
      </c>
      <c r="JC12" s="4" t="str">
        <f t="shared" si="47"/>
        <v/>
      </c>
      <c r="JD12" s="4" t="str">
        <f t="shared" si="48"/>
        <v/>
      </c>
      <c r="JE12" s="4" t="str">
        <f t="shared" si="49"/>
        <v/>
      </c>
      <c r="JF12" s="4" t="str">
        <f t="shared" si="50"/>
        <v/>
      </c>
      <c r="JG12" s="4" t="str">
        <f t="shared" si="51"/>
        <v/>
      </c>
      <c r="JH12" s="4" t="str">
        <f t="shared" si="52"/>
        <v/>
      </c>
      <c r="JI12" s="4" t="str">
        <f t="shared" si="53"/>
        <v/>
      </c>
      <c r="JJ12" s="4" t="str">
        <f t="shared" si="54"/>
        <v/>
      </c>
      <c r="JK12" s="4" t="str">
        <f t="shared" si="55"/>
        <v/>
      </c>
      <c r="JL12" s="4" t="str">
        <f t="shared" si="56"/>
        <v/>
      </c>
      <c r="JM12" s="4" t="str">
        <f t="shared" si="57"/>
        <v/>
      </c>
      <c r="JN12" s="4" t="str">
        <f t="shared" si="58"/>
        <v/>
      </c>
      <c r="JO12" s="4" t="str">
        <f t="shared" si="59"/>
        <v/>
      </c>
      <c r="JP12" s="4" t="str">
        <f t="shared" si="60"/>
        <v/>
      </c>
      <c r="JQ12" s="4" t="str">
        <f t="shared" si="61"/>
        <v/>
      </c>
      <c r="JR12" s="4" t="str">
        <f t="shared" si="62"/>
        <v/>
      </c>
      <c r="JS12" s="4" t="str">
        <f t="shared" si="63"/>
        <v/>
      </c>
      <c r="JT12" s="4" t="str">
        <f t="shared" si="64"/>
        <v/>
      </c>
      <c r="JU12" s="4" t="str">
        <f t="shared" si="65"/>
        <v/>
      </c>
      <c r="JV12" s="4" t="str">
        <f t="shared" si="66"/>
        <v/>
      </c>
      <c r="JW12" s="4" t="str">
        <f t="shared" si="67"/>
        <v/>
      </c>
      <c r="JX12" s="4" t="str">
        <f t="shared" si="68"/>
        <v/>
      </c>
      <c r="JY12" s="4" t="str">
        <f t="shared" si="69"/>
        <v/>
      </c>
      <c r="JZ12" s="4" t="str">
        <f t="shared" si="70"/>
        <v/>
      </c>
      <c r="KA12" s="4" t="str">
        <f t="shared" si="71"/>
        <v/>
      </c>
      <c r="KB12" s="4" t="str">
        <f t="shared" si="72"/>
        <v/>
      </c>
      <c r="KC12" s="4" t="str">
        <f t="shared" si="73"/>
        <v/>
      </c>
      <c r="KD12" s="4" t="str">
        <f t="shared" si="74"/>
        <v/>
      </c>
      <c r="KE12" s="4" t="str">
        <f t="shared" si="75"/>
        <v/>
      </c>
      <c r="KF12" s="4" t="str">
        <f t="shared" si="76"/>
        <v/>
      </c>
      <c r="KG12" s="4" t="str">
        <f t="shared" si="77"/>
        <v/>
      </c>
      <c r="KH12" s="4" t="str">
        <f t="shared" si="78"/>
        <v/>
      </c>
      <c r="KI12" s="4" t="str">
        <f t="shared" si="79"/>
        <v/>
      </c>
      <c r="KJ12" s="4" t="str">
        <f t="shared" si="80"/>
        <v/>
      </c>
      <c r="KK12" s="4" t="str">
        <f t="shared" si="81"/>
        <v/>
      </c>
      <c r="KL12" s="4" t="str">
        <f t="shared" si="82"/>
        <v/>
      </c>
      <c r="KM12" s="4" t="str">
        <f t="shared" si="83"/>
        <v/>
      </c>
      <c r="KN12" s="4" t="str">
        <f t="shared" si="84"/>
        <v/>
      </c>
      <c r="KO12" s="4" t="str">
        <f t="shared" si="85"/>
        <v/>
      </c>
      <c r="KP12" s="4" t="str">
        <f t="shared" si="86"/>
        <v/>
      </c>
      <c r="KQ12" s="4" t="str">
        <f t="shared" si="87"/>
        <v/>
      </c>
      <c r="KR12" s="4" t="str">
        <f t="shared" si="88"/>
        <v/>
      </c>
      <c r="KS12" s="4" t="str">
        <f t="shared" si="89"/>
        <v/>
      </c>
      <c r="KT12" s="4" t="str">
        <f t="shared" si="90"/>
        <v/>
      </c>
      <c r="KU12" s="4" t="str">
        <f t="shared" si="91"/>
        <v/>
      </c>
      <c r="KV12" s="4" t="str">
        <f t="shared" si="92"/>
        <v/>
      </c>
      <c r="KW12" s="4" t="str">
        <f t="shared" si="93"/>
        <v/>
      </c>
      <c r="KX12" s="4" t="str">
        <f t="shared" si="94"/>
        <v/>
      </c>
      <c r="KY12" s="4" t="str">
        <f t="shared" si="95"/>
        <v/>
      </c>
      <c r="KZ12" s="4" t="str">
        <f t="shared" si="96"/>
        <v/>
      </c>
      <c r="LA12" s="4" t="str">
        <f t="shared" si="97"/>
        <v/>
      </c>
      <c r="LB12" s="4" t="str">
        <f t="shared" si="98"/>
        <v/>
      </c>
      <c r="LC12" s="4" t="str">
        <f t="shared" si="99"/>
        <v/>
      </c>
      <c r="LD12" s="4" t="str">
        <f t="shared" si="100"/>
        <v/>
      </c>
      <c r="LE12" s="4" t="str">
        <f t="shared" si="101"/>
        <v/>
      </c>
      <c r="LF12" s="4" t="str">
        <f t="shared" si="102"/>
        <v/>
      </c>
      <c r="LG12" s="4" t="str">
        <f t="shared" si="103"/>
        <v/>
      </c>
      <c r="LH12" s="4" t="str">
        <f t="shared" si="104"/>
        <v/>
      </c>
      <c r="LI12" s="4" t="str">
        <f t="shared" si="105"/>
        <v/>
      </c>
      <c r="LJ12" s="4" t="str">
        <f t="shared" si="106"/>
        <v/>
      </c>
      <c r="LK12" s="4" t="str">
        <f t="shared" si="107"/>
        <v/>
      </c>
      <c r="LL12" s="4" t="str">
        <f t="shared" si="108"/>
        <v/>
      </c>
      <c r="LM12" s="4" t="str">
        <f t="shared" si="109"/>
        <v/>
      </c>
      <c r="LN12" s="4" t="str">
        <f t="shared" si="110"/>
        <v/>
      </c>
      <c r="LO12" s="4" t="str">
        <f t="shared" si="111"/>
        <v/>
      </c>
      <c r="LP12" s="4" t="str">
        <f t="shared" si="112"/>
        <v/>
      </c>
      <c r="LQ12" s="4" t="str">
        <f t="shared" si="113"/>
        <v/>
      </c>
      <c r="LR12" s="4" t="str">
        <f t="shared" si="114"/>
        <v/>
      </c>
      <c r="LS12" s="4" t="str">
        <f t="shared" si="115"/>
        <v/>
      </c>
      <c r="LT12" s="4" t="str">
        <f t="shared" si="116"/>
        <v/>
      </c>
      <c r="LU12" s="4" t="str">
        <f t="shared" si="117"/>
        <v/>
      </c>
      <c r="LV12" s="4" t="str">
        <f t="shared" si="118"/>
        <v/>
      </c>
      <c r="LW12" s="4" t="str">
        <f t="shared" si="119"/>
        <v/>
      </c>
      <c r="LX12" s="4" t="str">
        <f t="shared" si="120"/>
        <v/>
      </c>
      <c r="LY12" s="4" t="str">
        <f t="shared" si="121"/>
        <v/>
      </c>
      <c r="LZ12" s="4" t="str">
        <f t="shared" si="122"/>
        <v/>
      </c>
      <c r="MA12" s="4" t="str">
        <f t="shared" si="123"/>
        <v/>
      </c>
      <c r="MB12" s="4" t="str">
        <f t="shared" si="124"/>
        <v/>
      </c>
      <c r="MC12" s="4" t="str">
        <f t="shared" si="125"/>
        <v/>
      </c>
      <c r="MD12" s="4" t="str">
        <f t="shared" si="126"/>
        <v/>
      </c>
      <c r="ME12" s="4" t="str">
        <f t="shared" si="127"/>
        <v/>
      </c>
      <c r="MF12" s="4" t="str">
        <f t="shared" si="128"/>
        <v/>
      </c>
      <c r="MG12" s="4" t="str">
        <f t="shared" si="129"/>
        <v/>
      </c>
      <c r="MH12" s="4" t="str">
        <f t="shared" si="130"/>
        <v/>
      </c>
      <c r="MI12" s="4" t="str">
        <f t="shared" si="131"/>
        <v/>
      </c>
      <c r="MJ12" s="4" t="str">
        <f t="shared" si="132"/>
        <v/>
      </c>
      <c r="MK12" s="4" t="str">
        <f t="shared" si="133"/>
        <v/>
      </c>
      <c r="ML12" s="4" t="str">
        <f t="shared" si="134"/>
        <v/>
      </c>
      <c r="MM12" s="4" t="str">
        <f t="shared" si="135"/>
        <v/>
      </c>
      <c r="MN12" s="4" t="str">
        <f t="shared" si="136"/>
        <v/>
      </c>
      <c r="MO12" s="4" t="str">
        <f t="shared" si="137"/>
        <v/>
      </c>
      <c r="MP12" s="4" t="str">
        <f t="shared" si="138"/>
        <v/>
      </c>
      <c r="MQ12" s="4" t="str">
        <f t="shared" si="139"/>
        <v/>
      </c>
      <c r="MR12" s="4" t="str">
        <f t="shared" si="140"/>
        <v/>
      </c>
      <c r="MS12" s="4" t="str">
        <f t="shared" si="141"/>
        <v/>
      </c>
      <c r="MT12" s="4" t="str">
        <f t="shared" si="142"/>
        <v/>
      </c>
      <c r="MU12" s="4" t="str">
        <f t="shared" si="143"/>
        <v/>
      </c>
      <c r="MV12" s="4" t="str">
        <f t="shared" si="144"/>
        <v/>
      </c>
      <c r="MW12" s="4" t="str">
        <f t="shared" si="145"/>
        <v/>
      </c>
      <c r="MX12" s="4" t="str">
        <f t="shared" si="146"/>
        <v/>
      </c>
      <c r="MY12" s="4" t="str">
        <f t="shared" si="147"/>
        <v/>
      </c>
      <c r="MZ12" s="4" t="str">
        <f t="shared" si="148"/>
        <v/>
      </c>
      <c r="NA12" s="4" t="str">
        <f t="shared" si="149"/>
        <v/>
      </c>
      <c r="NB12" s="4" t="str">
        <f t="shared" si="150"/>
        <v/>
      </c>
      <c r="NC12" s="4" t="str">
        <f t="shared" si="151"/>
        <v/>
      </c>
      <c r="ND12" s="4" t="str">
        <f t="shared" si="152"/>
        <v/>
      </c>
      <c r="NE12" s="4" t="str">
        <f t="shared" si="153"/>
        <v/>
      </c>
      <c r="NF12" s="4" t="str">
        <f t="shared" si="154"/>
        <v/>
      </c>
      <c r="NG12" s="4" t="str">
        <f t="shared" si="155"/>
        <v/>
      </c>
      <c r="NH12" s="4" t="str">
        <f t="shared" si="156"/>
        <v/>
      </c>
      <c r="NI12" s="4" t="str">
        <f t="shared" si="157"/>
        <v/>
      </c>
      <c r="NJ12" s="4" t="str">
        <f t="shared" si="158"/>
        <v/>
      </c>
      <c r="NK12" s="4" t="str">
        <f t="shared" si="159"/>
        <v/>
      </c>
      <c r="NL12" s="4" t="str">
        <f t="shared" si="160"/>
        <v/>
      </c>
      <c r="NM12" s="4" t="str">
        <f t="shared" si="161"/>
        <v/>
      </c>
      <c r="NN12" s="4" t="str">
        <f t="shared" si="162"/>
        <v/>
      </c>
      <c r="NO12" s="4" t="str">
        <f t="shared" si="163"/>
        <v/>
      </c>
      <c r="NP12" s="4" t="str">
        <f t="shared" si="164"/>
        <v/>
      </c>
      <c r="NQ12" s="4" t="str">
        <f t="shared" si="165"/>
        <v/>
      </c>
      <c r="NR12" s="4" t="str">
        <f t="shared" si="166"/>
        <v/>
      </c>
      <c r="NS12" s="4" t="str">
        <f t="shared" si="167"/>
        <v/>
      </c>
      <c r="NT12" s="4" t="str">
        <f t="shared" si="168"/>
        <v/>
      </c>
      <c r="NU12" s="4" t="str">
        <f t="shared" si="169"/>
        <v/>
      </c>
      <c r="NV12" s="4" t="str">
        <f t="shared" si="170"/>
        <v/>
      </c>
      <c r="NW12" s="4" t="str">
        <f t="shared" si="171"/>
        <v/>
      </c>
      <c r="NX12" s="4" t="str">
        <f t="shared" si="172"/>
        <v/>
      </c>
      <c r="NY12" s="4" t="str">
        <f t="shared" si="173"/>
        <v/>
      </c>
      <c r="NZ12" s="4" t="str">
        <f t="shared" si="174"/>
        <v/>
      </c>
      <c r="OA12" s="4" t="str">
        <f t="shared" si="175"/>
        <v/>
      </c>
      <c r="OB12" s="4" t="str">
        <f t="shared" si="176"/>
        <v/>
      </c>
      <c r="OC12" s="4" t="str">
        <f t="shared" si="177"/>
        <v/>
      </c>
      <c r="OD12" s="4" t="str">
        <f t="shared" si="178"/>
        <v/>
      </c>
      <c r="OE12" s="4" t="str">
        <f t="shared" si="179"/>
        <v/>
      </c>
      <c r="OF12" s="4" t="str">
        <f t="shared" si="180"/>
        <v/>
      </c>
      <c r="OG12" s="4" t="str">
        <f t="shared" si="181"/>
        <v/>
      </c>
      <c r="OH12" s="4" t="str">
        <f t="shared" si="182"/>
        <v/>
      </c>
      <c r="OI12" s="4" t="str">
        <f t="shared" si="183"/>
        <v/>
      </c>
      <c r="OJ12" s="4" t="str">
        <f t="shared" si="184"/>
        <v/>
      </c>
      <c r="OK12" s="4" t="str">
        <f t="shared" si="185"/>
        <v/>
      </c>
      <c r="OL12" s="4" t="str">
        <f t="shared" si="186"/>
        <v/>
      </c>
      <c r="OM12" s="4" t="str">
        <f t="shared" si="187"/>
        <v/>
      </c>
      <c r="ON12" s="4" t="str">
        <f t="shared" si="188"/>
        <v/>
      </c>
      <c r="OO12" s="4" t="str">
        <f t="shared" si="189"/>
        <v/>
      </c>
      <c r="OP12" s="4" t="str">
        <f t="shared" si="190"/>
        <v/>
      </c>
      <c r="OQ12" s="4" t="str">
        <f t="shared" si="191"/>
        <v/>
      </c>
      <c r="OR12" s="4" t="str">
        <f t="shared" si="192"/>
        <v/>
      </c>
      <c r="OS12" s="4" t="str">
        <f t="shared" si="193"/>
        <v/>
      </c>
      <c r="OT12" s="4" t="str">
        <f t="shared" si="194"/>
        <v/>
      </c>
      <c r="OU12" s="4" t="str">
        <f t="shared" si="195"/>
        <v/>
      </c>
      <c r="OV12" s="4" t="str">
        <f t="shared" si="196"/>
        <v/>
      </c>
      <c r="OW12" s="4" t="str">
        <f t="shared" si="197"/>
        <v/>
      </c>
      <c r="OX12" s="4" t="str">
        <f t="shared" si="198"/>
        <v/>
      </c>
      <c r="OY12" s="4" t="str">
        <f t="shared" si="199"/>
        <v/>
      </c>
      <c r="OZ12" s="4" t="str">
        <f t="shared" si="200"/>
        <v/>
      </c>
      <c r="PA12" s="4" t="str">
        <f t="shared" si="201"/>
        <v/>
      </c>
      <c r="PB12" s="4" t="str">
        <f t="shared" si="202"/>
        <v/>
      </c>
      <c r="PC12" s="4" t="str">
        <f t="shared" si="203"/>
        <v/>
      </c>
      <c r="PD12" s="4" t="str">
        <f t="shared" si="204"/>
        <v/>
      </c>
      <c r="PE12" s="4" t="str">
        <f t="shared" si="205"/>
        <v/>
      </c>
      <c r="PF12" s="4" t="str">
        <f t="shared" si="206"/>
        <v/>
      </c>
      <c r="PG12" s="4" t="str">
        <f t="shared" si="207"/>
        <v/>
      </c>
      <c r="PH12" s="4" t="str">
        <f t="shared" si="208"/>
        <v/>
      </c>
      <c r="PI12" s="4" t="str">
        <f t="shared" si="209"/>
        <v/>
      </c>
      <c r="PJ12" s="4" t="str">
        <f t="shared" si="210"/>
        <v/>
      </c>
      <c r="PK12" s="4" t="str">
        <f t="shared" si="211"/>
        <v/>
      </c>
      <c r="PL12" s="4" t="str">
        <f t="shared" si="212"/>
        <v/>
      </c>
      <c r="PM12" s="4" t="str">
        <f t="shared" si="213"/>
        <v/>
      </c>
      <c r="PN12" s="4" t="str">
        <f t="shared" si="214"/>
        <v/>
      </c>
      <c r="PO12" s="4" t="str">
        <f t="shared" si="215"/>
        <v/>
      </c>
      <c r="PP12" s="4" t="str">
        <f t="shared" si="216"/>
        <v/>
      </c>
      <c r="PQ12" s="4" t="str">
        <f t="shared" si="217"/>
        <v/>
      </c>
      <c r="PR12" s="4" t="str">
        <f t="shared" si="218"/>
        <v/>
      </c>
      <c r="PS12" s="4" t="str">
        <f t="shared" si="219"/>
        <v/>
      </c>
    </row>
    <row r="13">
      <c r="HI13" s="4" t="str">
        <f t="shared" si="2"/>
        <v/>
      </c>
      <c r="HJ13" s="4" t="str">
        <f t="shared" si="3"/>
        <v/>
      </c>
      <c r="HK13" s="4" t="str">
        <f t="shared" si="4"/>
        <v/>
      </c>
      <c r="HL13" s="4" t="str">
        <f t="shared" si="5"/>
        <v/>
      </c>
      <c r="HM13" s="4" t="str">
        <f t="shared" si="6"/>
        <v/>
      </c>
      <c r="HN13" s="4" t="str">
        <f t="shared" si="7"/>
        <v/>
      </c>
      <c r="HO13" s="4" t="str">
        <f t="shared" si="8"/>
        <v/>
      </c>
      <c r="HP13" s="4" t="str">
        <f t="shared" si="9"/>
        <v/>
      </c>
      <c r="HQ13" s="4" t="str">
        <f t="shared" si="10"/>
        <v/>
      </c>
      <c r="HR13" s="4" t="str">
        <f t="shared" si="11"/>
        <v/>
      </c>
      <c r="HS13" s="4" t="str">
        <f t="shared" si="12"/>
        <v/>
      </c>
      <c r="HT13" s="4" t="str">
        <f t="shared" si="13"/>
        <v/>
      </c>
      <c r="HU13" s="4" t="str">
        <f t="shared" si="14"/>
        <v/>
      </c>
      <c r="HV13" s="4" t="str">
        <f t="shared" si="15"/>
        <v/>
      </c>
      <c r="HW13" s="4" t="str">
        <f t="shared" si="16"/>
        <v/>
      </c>
      <c r="HX13" s="4" t="str">
        <f t="shared" si="17"/>
        <v/>
      </c>
      <c r="HY13" s="4" t="str">
        <f t="shared" si="18"/>
        <v/>
      </c>
      <c r="HZ13" s="4" t="str">
        <f t="shared" si="19"/>
        <v/>
      </c>
      <c r="IA13" s="4" t="str">
        <f t="shared" si="20"/>
        <v/>
      </c>
      <c r="IB13" s="4" t="str">
        <f t="shared" si="21"/>
        <v/>
      </c>
      <c r="IC13" s="4" t="str">
        <f t="shared" si="22"/>
        <v/>
      </c>
      <c r="ID13" s="4" t="str">
        <f t="shared" si="23"/>
        <v/>
      </c>
      <c r="IE13" s="4" t="str">
        <f t="shared" si="24"/>
        <v/>
      </c>
      <c r="IF13" s="4" t="str">
        <f t="shared" si="25"/>
        <v/>
      </c>
      <c r="IG13" s="4" t="str">
        <f t="shared" si="26"/>
        <v/>
      </c>
      <c r="IH13" s="4" t="str">
        <f t="shared" si="27"/>
        <v/>
      </c>
      <c r="II13" s="4" t="str">
        <f t="shared" si="28"/>
        <v/>
      </c>
      <c r="IJ13" s="4" t="str">
        <f t="shared" si="29"/>
        <v/>
      </c>
      <c r="IK13" s="4" t="str">
        <f t="shared" si="30"/>
        <v/>
      </c>
      <c r="IL13" s="4" t="str">
        <f t="shared" si="31"/>
        <v/>
      </c>
      <c r="IM13" s="4" t="str">
        <f t="shared" si="32"/>
        <v/>
      </c>
      <c r="IN13" s="4" t="str">
        <f t="shared" si="33"/>
        <v/>
      </c>
      <c r="IO13" s="4" t="str">
        <f t="shared" si="34"/>
        <v/>
      </c>
      <c r="IP13" s="4" t="str">
        <f t="shared" si="35"/>
        <v/>
      </c>
      <c r="IQ13" s="4" t="str">
        <f t="shared" si="36"/>
        <v/>
      </c>
      <c r="IR13" s="4" t="str">
        <f t="shared" si="37"/>
        <v/>
      </c>
      <c r="IS13" s="4" t="str">
        <f t="shared" si="38"/>
        <v/>
      </c>
      <c r="IT13" s="4" t="str">
        <f t="shared" si="39"/>
        <v/>
      </c>
      <c r="IU13" s="4" t="str">
        <f t="shared" si="40"/>
        <v/>
      </c>
      <c r="IV13" s="4" t="str">
        <f t="shared" si="41"/>
        <v/>
      </c>
      <c r="IW13" s="4" t="str">
        <f t="shared" si="42"/>
        <v/>
      </c>
      <c r="IX13" s="4" t="str">
        <f t="shared" si="43"/>
        <v/>
      </c>
      <c r="IY13" s="4" t="str">
        <f t="shared" si="44"/>
        <v/>
      </c>
      <c r="IZ13" s="4" t="str">
        <f t="shared" si="45"/>
        <v/>
      </c>
      <c r="JA13" s="4" t="str">
        <f t="shared" ref="JA13:JB13" si="229">if(ISERROR(SEARCH("Higher Education",BB13)),"","810")</f>
        <v/>
      </c>
      <c r="JB13" s="4" t="str">
        <f t="shared" si="229"/>
        <v/>
      </c>
      <c r="JC13" s="4" t="str">
        <f t="shared" si="47"/>
        <v/>
      </c>
      <c r="JD13" s="4" t="str">
        <f t="shared" si="48"/>
        <v/>
      </c>
      <c r="JE13" s="4" t="str">
        <f t="shared" si="49"/>
        <v/>
      </c>
      <c r="JF13" s="4" t="str">
        <f t="shared" si="50"/>
        <v/>
      </c>
      <c r="JG13" s="4" t="str">
        <f t="shared" si="51"/>
        <v/>
      </c>
      <c r="JH13" s="4" t="str">
        <f t="shared" si="52"/>
        <v/>
      </c>
      <c r="JI13" s="4" t="str">
        <f t="shared" si="53"/>
        <v/>
      </c>
      <c r="JJ13" s="4" t="str">
        <f t="shared" si="54"/>
        <v/>
      </c>
      <c r="JK13" s="4" t="str">
        <f t="shared" si="55"/>
        <v/>
      </c>
      <c r="JL13" s="4" t="str">
        <f t="shared" si="56"/>
        <v/>
      </c>
      <c r="JM13" s="4" t="str">
        <f t="shared" si="57"/>
        <v/>
      </c>
      <c r="JN13" s="4" t="str">
        <f t="shared" si="58"/>
        <v/>
      </c>
      <c r="JO13" s="4" t="str">
        <f t="shared" si="59"/>
        <v/>
      </c>
      <c r="JP13" s="4" t="str">
        <f t="shared" si="60"/>
        <v/>
      </c>
      <c r="JQ13" s="4" t="str">
        <f t="shared" si="61"/>
        <v/>
      </c>
      <c r="JR13" s="4" t="str">
        <f t="shared" si="62"/>
        <v/>
      </c>
      <c r="JS13" s="4" t="str">
        <f t="shared" si="63"/>
        <v/>
      </c>
      <c r="JT13" s="4" t="str">
        <f t="shared" si="64"/>
        <v/>
      </c>
      <c r="JU13" s="4" t="str">
        <f t="shared" si="65"/>
        <v/>
      </c>
      <c r="JV13" s="4" t="str">
        <f t="shared" si="66"/>
        <v/>
      </c>
      <c r="JW13" s="4" t="str">
        <f t="shared" si="67"/>
        <v/>
      </c>
      <c r="JX13" s="4" t="str">
        <f t="shared" si="68"/>
        <v/>
      </c>
      <c r="JY13" s="4" t="str">
        <f t="shared" si="69"/>
        <v/>
      </c>
      <c r="JZ13" s="4" t="str">
        <f t="shared" si="70"/>
        <v/>
      </c>
      <c r="KA13" s="4" t="str">
        <f t="shared" si="71"/>
        <v/>
      </c>
      <c r="KB13" s="4" t="str">
        <f t="shared" si="72"/>
        <v/>
      </c>
      <c r="KC13" s="4" t="str">
        <f t="shared" si="73"/>
        <v/>
      </c>
      <c r="KD13" s="4" t="str">
        <f t="shared" si="74"/>
        <v/>
      </c>
      <c r="KE13" s="4" t="str">
        <f t="shared" si="75"/>
        <v/>
      </c>
      <c r="KF13" s="4" t="str">
        <f t="shared" si="76"/>
        <v/>
      </c>
      <c r="KG13" s="4" t="str">
        <f t="shared" si="77"/>
        <v/>
      </c>
      <c r="KH13" s="4" t="str">
        <f t="shared" si="78"/>
        <v/>
      </c>
      <c r="KI13" s="4" t="str">
        <f t="shared" si="79"/>
        <v/>
      </c>
      <c r="KJ13" s="4" t="str">
        <f t="shared" si="80"/>
        <v/>
      </c>
      <c r="KK13" s="4" t="str">
        <f t="shared" si="81"/>
        <v/>
      </c>
      <c r="KL13" s="4" t="str">
        <f t="shared" si="82"/>
        <v/>
      </c>
      <c r="KM13" s="4" t="str">
        <f t="shared" si="83"/>
        <v/>
      </c>
      <c r="KN13" s="4" t="str">
        <f t="shared" si="84"/>
        <v/>
      </c>
      <c r="KO13" s="4" t="str">
        <f t="shared" si="85"/>
        <v/>
      </c>
      <c r="KP13" s="4" t="str">
        <f t="shared" si="86"/>
        <v/>
      </c>
      <c r="KQ13" s="4" t="str">
        <f t="shared" si="87"/>
        <v/>
      </c>
      <c r="KR13" s="4" t="str">
        <f t="shared" si="88"/>
        <v/>
      </c>
      <c r="KS13" s="4" t="str">
        <f t="shared" si="89"/>
        <v/>
      </c>
      <c r="KT13" s="4" t="str">
        <f t="shared" si="90"/>
        <v/>
      </c>
      <c r="KU13" s="4" t="str">
        <f t="shared" si="91"/>
        <v/>
      </c>
      <c r="KV13" s="4" t="str">
        <f t="shared" si="92"/>
        <v/>
      </c>
      <c r="KW13" s="4" t="str">
        <f t="shared" si="93"/>
        <v/>
      </c>
      <c r="KX13" s="4" t="str">
        <f t="shared" si="94"/>
        <v/>
      </c>
      <c r="KY13" s="4" t="str">
        <f t="shared" si="95"/>
        <v/>
      </c>
      <c r="KZ13" s="4" t="str">
        <f t="shared" si="96"/>
        <v/>
      </c>
      <c r="LA13" s="4" t="str">
        <f t="shared" si="97"/>
        <v/>
      </c>
      <c r="LB13" s="4" t="str">
        <f t="shared" si="98"/>
        <v/>
      </c>
      <c r="LC13" s="4" t="str">
        <f t="shared" si="99"/>
        <v/>
      </c>
      <c r="LD13" s="4" t="str">
        <f t="shared" si="100"/>
        <v/>
      </c>
      <c r="LE13" s="4" t="str">
        <f t="shared" si="101"/>
        <v/>
      </c>
      <c r="LF13" s="4" t="str">
        <f t="shared" si="102"/>
        <v/>
      </c>
      <c r="LG13" s="4" t="str">
        <f t="shared" si="103"/>
        <v/>
      </c>
      <c r="LH13" s="4" t="str">
        <f t="shared" si="104"/>
        <v/>
      </c>
      <c r="LI13" s="4" t="str">
        <f t="shared" si="105"/>
        <v/>
      </c>
      <c r="LJ13" s="4" t="str">
        <f t="shared" si="106"/>
        <v/>
      </c>
      <c r="LK13" s="4" t="str">
        <f t="shared" si="107"/>
        <v/>
      </c>
      <c r="LL13" s="4" t="str">
        <f t="shared" si="108"/>
        <v/>
      </c>
      <c r="LM13" s="4" t="str">
        <f t="shared" si="109"/>
        <v/>
      </c>
      <c r="LN13" s="4" t="str">
        <f t="shared" si="110"/>
        <v/>
      </c>
      <c r="LO13" s="4" t="str">
        <f t="shared" si="111"/>
        <v/>
      </c>
      <c r="LP13" s="4" t="str">
        <f t="shared" si="112"/>
        <v/>
      </c>
      <c r="LQ13" s="4" t="str">
        <f t="shared" si="113"/>
        <v/>
      </c>
      <c r="LR13" s="4" t="str">
        <f t="shared" si="114"/>
        <v/>
      </c>
      <c r="LS13" s="4" t="str">
        <f t="shared" si="115"/>
        <v/>
      </c>
      <c r="LT13" s="4" t="str">
        <f t="shared" si="116"/>
        <v/>
      </c>
      <c r="LU13" s="4" t="str">
        <f t="shared" si="117"/>
        <v/>
      </c>
      <c r="LV13" s="4" t="str">
        <f t="shared" si="118"/>
        <v/>
      </c>
      <c r="LW13" s="4" t="str">
        <f t="shared" si="119"/>
        <v/>
      </c>
      <c r="LX13" s="4" t="str">
        <f t="shared" si="120"/>
        <v/>
      </c>
      <c r="LY13" s="4" t="str">
        <f t="shared" si="121"/>
        <v/>
      </c>
      <c r="LZ13" s="4" t="str">
        <f t="shared" si="122"/>
        <v/>
      </c>
      <c r="MA13" s="4" t="str">
        <f t="shared" si="123"/>
        <v/>
      </c>
      <c r="MB13" s="4" t="str">
        <f t="shared" si="124"/>
        <v/>
      </c>
      <c r="MC13" s="4" t="str">
        <f t="shared" si="125"/>
        <v/>
      </c>
      <c r="MD13" s="4" t="str">
        <f t="shared" si="126"/>
        <v/>
      </c>
      <c r="ME13" s="4" t="str">
        <f t="shared" si="127"/>
        <v/>
      </c>
      <c r="MF13" s="4" t="str">
        <f t="shared" si="128"/>
        <v/>
      </c>
      <c r="MG13" s="4" t="str">
        <f t="shared" si="129"/>
        <v/>
      </c>
      <c r="MH13" s="4" t="str">
        <f t="shared" si="130"/>
        <v/>
      </c>
      <c r="MI13" s="4" t="str">
        <f t="shared" si="131"/>
        <v/>
      </c>
      <c r="MJ13" s="4" t="str">
        <f t="shared" si="132"/>
        <v/>
      </c>
      <c r="MK13" s="4" t="str">
        <f t="shared" si="133"/>
        <v/>
      </c>
      <c r="ML13" s="4" t="str">
        <f t="shared" si="134"/>
        <v/>
      </c>
      <c r="MM13" s="4" t="str">
        <f t="shared" si="135"/>
        <v/>
      </c>
      <c r="MN13" s="4" t="str">
        <f t="shared" si="136"/>
        <v/>
      </c>
      <c r="MO13" s="4" t="str">
        <f t="shared" si="137"/>
        <v/>
      </c>
      <c r="MP13" s="4" t="str">
        <f t="shared" si="138"/>
        <v/>
      </c>
      <c r="MQ13" s="4" t="str">
        <f t="shared" si="139"/>
        <v/>
      </c>
      <c r="MR13" s="4" t="str">
        <f t="shared" si="140"/>
        <v/>
      </c>
      <c r="MS13" s="4" t="str">
        <f t="shared" si="141"/>
        <v/>
      </c>
      <c r="MT13" s="4" t="str">
        <f t="shared" si="142"/>
        <v/>
      </c>
      <c r="MU13" s="4" t="str">
        <f t="shared" si="143"/>
        <v/>
      </c>
      <c r="MV13" s="4" t="str">
        <f t="shared" si="144"/>
        <v/>
      </c>
      <c r="MW13" s="4" t="str">
        <f t="shared" si="145"/>
        <v/>
      </c>
      <c r="MX13" s="4" t="str">
        <f t="shared" si="146"/>
        <v/>
      </c>
      <c r="MY13" s="4" t="str">
        <f t="shared" si="147"/>
        <v/>
      </c>
      <c r="MZ13" s="4" t="str">
        <f t="shared" si="148"/>
        <v/>
      </c>
      <c r="NA13" s="4" t="str">
        <f t="shared" si="149"/>
        <v/>
      </c>
      <c r="NB13" s="4" t="str">
        <f t="shared" si="150"/>
        <v/>
      </c>
      <c r="NC13" s="4" t="str">
        <f t="shared" si="151"/>
        <v/>
      </c>
      <c r="ND13" s="4" t="str">
        <f t="shared" si="152"/>
        <v/>
      </c>
      <c r="NE13" s="4" t="str">
        <f t="shared" si="153"/>
        <v/>
      </c>
      <c r="NF13" s="4" t="str">
        <f t="shared" si="154"/>
        <v/>
      </c>
      <c r="NG13" s="4" t="str">
        <f t="shared" si="155"/>
        <v/>
      </c>
      <c r="NH13" s="4" t="str">
        <f t="shared" si="156"/>
        <v/>
      </c>
      <c r="NI13" s="4" t="str">
        <f t="shared" si="157"/>
        <v/>
      </c>
      <c r="NJ13" s="4" t="str">
        <f t="shared" si="158"/>
        <v/>
      </c>
      <c r="NK13" s="4" t="str">
        <f t="shared" si="159"/>
        <v/>
      </c>
      <c r="NL13" s="4" t="str">
        <f t="shared" si="160"/>
        <v/>
      </c>
      <c r="NM13" s="4" t="str">
        <f t="shared" si="161"/>
        <v/>
      </c>
      <c r="NN13" s="4" t="str">
        <f t="shared" si="162"/>
        <v/>
      </c>
      <c r="NO13" s="4" t="str">
        <f t="shared" si="163"/>
        <v/>
      </c>
      <c r="NP13" s="4" t="str">
        <f t="shared" si="164"/>
        <v/>
      </c>
      <c r="NQ13" s="4" t="str">
        <f t="shared" si="165"/>
        <v/>
      </c>
      <c r="NR13" s="4" t="str">
        <f t="shared" si="166"/>
        <v/>
      </c>
      <c r="NS13" s="4" t="str">
        <f t="shared" si="167"/>
        <v/>
      </c>
      <c r="NT13" s="4" t="str">
        <f t="shared" si="168"/>
        <v/>
      </c>
      <c r="NU13" s="4" t="str">
        <f t="shared" si="169"/>
        <v/>
      </c>
      <c r="NV13" s="4" t="str">
        <f t="shared" si="170"/>
        <v/>
      </c>
      <c r="NW13" s="4" t="str">
        <f t="shared" si="171"/>
        <v/>
      </c>
      <c r="NX13" s="4" t="str">
        <f t="shared" si="172"/>
        <v/>
      </c>
      <c r="NY13" s="4" t="str">
        <f t="shared" si="173"/>
        <v/>
      </c>
      <c r="NZ13" s="4" t="str">
        <f t="shared" si="174"/>
        <v/>
      </c>
      <c r="OA13" s="4" t="str">
        <f t="shared" si="175"/>
        <v/>
      </c>
      <c r="OB13" s="4" t="str">
        <f t="shared" si="176"/>
        <v/>
      </c>
      <c r="OC13" s="4" t="str">
        <f t="shared" si="177"/>
        <v/>
      </c>
      <c r="OD13" s="4" t="str">
        <f t="shared" si="178"/>
        <v/>
      </c>
      <c r="OE13" s="4" t="str">
        <f t="shared" si="179"/>
        <v/>
      </c>
      <c r="OF13" s="4" t="str">
        <f t="shared" si="180"/>
        <v/>
      </c>
      <c r="OG13" s="4" t="str">
        <f t="shared" si="181"/>
        <v/>
      </c>
      <c r="OH13" s="4" t="str">
        <f t="shared" si="182"/>
        <v/>
      </c>
      <c r="OI13" s="4" t="str">
        <f t="shared" si="183"/>
        <v/>
      </c>
      <c r="OJ13" s="4" t="str">
        <f t="shared" si="184"/>
        <v/>
      </c>
      <c r="OK13" s="4" t="str">
        <f t="shared" si="185"/>
        <v/>
      </c>
      <c r="OL13" s="4" t="str">
        <f t="shared" si="186"/>
        <v/>
      </c>
      <c r="OM13" s="4" t="str">
        <f t="shared" si="187"/>
        <v/>
      </c>
      <c r="ON13" s="4" t="str">
        <f t="shared" si="188"/>
        <v/>
      </c>
      <c r="OO13" s="4" t="str">
        <f t="shared" si="189"/>
        <v/>
      </c>
      <c r="OP13" s="4" t="str">
        <f t="shared" si="190"/>
        <v/>
      </c>
      <c r="OQ13" s="4" t="str">
        <f t="shared" si="191"/>
        <v/>
      </c>
      <c r="OR13" s="4" t="str">
        <f t="shared" si="192"/>
        <v/>
      </c>
      <c r="OS13" s="4" t="str">
        <f t="shared" si="193"/>
        <v/>
      </c>
      <c r="OT13" s="4" t="str">
        <f t="shared" si="194"/>
        <v/>
      </c>
      <c r="OU13" s="4" t="str">
        <f t="shared" si="195"/>
        <v/>
      </c>
      <c r="OV13" s="4" t="str">
        <f t="shared" si="196"/>
        <v/>
      </c>
      <c r="OW13" s="4" t="str">
        <f t="shared" si="197"/>
        <v/>
      </c>
      <c r="OX13" s="4" t="str">
        <f t="shared" si="198"/>
        <v/>
      </c>
      <c r="OY13" s="4" t="str">
        <f t="shared" si="199"/>
        <v/>
      </c>
      <c r="OZ13" s="4" t="str">
        <f t="shared" si="200"/>
        <v/>
      </c>
      <c r="PA13" s="4" t="str">
        <f t="shared" si="201"/>
        <v/>
      </c>
      <c r="PB13" s="4" t="str">
        <f t="shared" si="202"/>
        <v/>
      </c>
      <c r="PC13" s="4" t="str">
        <f t="shared" si="203"/>
        <v/>
      </c>
      <c r="PD13" s="4" t="str">
        <f t="shared" si="204"/>
        <v/>
      </c>
      <c r="PE13" s="4" t="str">
        <f t="shared" si="205"/>
        <v/>
      </c>
      <c r="PF13" s="4" t="str">
        <f t="shared" si="206"/>
        <v/>
      </c>
      <c r="PG13" s="4" t="str">
        <f t="shared" si="207"/>
        <v/>
      </c>
      <c r="PH13" s="4" t="str">
        <f t="shared" si="208"/>
        <v/>
      </c>
      <c r="PI13" s="4" t="str">
        <f t="shared" si="209"/>
        <v/>
      </c>
      <c r="PJ13" s="4" t="str">
        <f t="shared" si="210"/>
        <v/>
      </c>
      <c r="PK13" s="4" t="str">
        <f t="shared" si="211"/>
        <v/>
      </c>
      <c r="PL13" s="4" t="str">
        <f t="shared" si="212"/>
        <v/>
      </c>
      <c r="PM13" s="4" t="str">
        <f t="shared" si="213"/>
        <v/>
      </c>
      <c r="PN13" s="4" t="str">
        <f t="shared" si="214"/>
        <v/>
      </c>
      <c r="PO13" s="4" t="str">
        <f t="shared" si="215"/>
        <v/>
      </c>
      <c r="PP13" s="4" t="str">
        <f t="shared" si="216"/>
        <v/>
      </c>
      <c r="PQ13" s="4" t="str">
        <f t="shared" si="217"/>
        <v/>
      </c>
      <c r="PR13" s="4" t="str">
        <f t="shared" si="218"/>
        <v/>
      </c>
      <c r="PS13" s="4" t="str">
        <f t="shared" si="219"/>
        <v/>
      </c>
    </row>
    <row r="14">
      <c r="HI14" s="4" t="str">
        <f t="shared" si="2"/>
        <v/>
      </c>
      <c r="HJ14" s="4" t="str">
        <f t="shared" si="3"/>
        <v/>
      </c>
      <c r="HK14" s="4" t="str">
        <f t="shared" si="4"/>
        <v/>
      </c>
      <c r="HL14" s="4" t="str">
        <f t="shared" si="5"/>
        <v/>
      </c>
      <c r="HM14" s="4" t="str">
        <f t="shared" si="6"/>
        <v/>
      </c>
      <c r="HN14" s="4" t="str">
        <f t="shared" si="7"/>
        <v/>
      </c>
      <c r="HO14" s="4" t="str">
        <f t="shared" si="8"/>
        <v/>
      </c>
      <c r="HP14" s="4" t="str">
        <f t="shared" si="9"/>
        <v/>
      </c>
      <c r="HQ14" s="4" t="str">
        <f t="shared" si="10"/>
        <v/>
      </c>
      <c r="HR14" s="4" t="str">
        <f t="shared" si="11"/>
        <v/>
      </c>
      <c r="HS14" s="4" t="str">
        <f t="shared" si="12"/>
        <v/>
      </c>
      <c r="HT14" s="4" t="str">
        <f t="shared" si="13"/>
        <v/>
      </c>
      <c r="HU14" s="4" t="str">
        <f t="shared" si="14"/>
        <v/>
      </c>
      <c r="HV14" s="4" t="str">
        <f t="shared" si="15"/>
        <v/>
      </c>
      <c r="HW14" s="4" t="str">
        <f t="shared" si="16"/>
        <v/>
      </c>
      <c r="HX14" s="4" t="str">
        <f t="shared" si="17"/>
        <v/>
      </c>
      <c r="HY14" s="4" t="str">
        <f t="shared" si="18"/>
        <v/>
      </c>
      <c r="HZ14" s="4" t="str">
        <f t="shared" si="19"/>
        <v/>
      </c>
      <c r="IA14" s="4" t="str">
        <f t="shared" si="20"/>
        <v/>
      </c>
      <c r="IB14" s="4" t="str">
        <f t="shared" si="21"/>
        <v/>
      </c>
      <c r="IC14" s="4" t="str">
        <f t="shared" si="22"/>
        <v/>
      </c>
      <c r="ID14" s="4" t="str">
        <f t="shared" si="23"/>
        <v/>
      </c>
      <c r="IE14" s="4" t="str">
        <f t="shared" si="24"/>
        <v/>
      </c>
      <c r="IF14" s="4" t="str">
        <f t="shared" si="25"/>
        <v/>
      </c>
      <c r="IG14" s="4" t="str">
        <f t="shared" si="26"/>
        <v/>
      </c>
      <c r="IH14" s="4" t="str">
        <f t="shared" si="27"/>
        <v/>
      </c>
      <c r="II14" s="4" t="str">
        <f t="shared" si="28"/>
        <v/>
      </c>
      <c r="IJ14" s="4" t="str">
        <f t="shared" si="29"/>
        <v/>
      </c>
      <c r="IK14" s="4" t="str">
        <f t="shared" si="30"/>
        <v/>
      </c>
      <c r="IL14" s="4" t="str">
        <f t="shared" si="31"/>
        <v/>
      </c>
      <c r="IM14" s="4" t="str">
        <f t="shared" si="32"/>
        <v/>
      </c>
      <c r="IN14" s="4" t="str">
        <f t="shared" si="33"/>
        <v/>
      </c>
      <c r="IO14" s="4" t="str">
        <f t="shared" si="34"/>
        <v/>
      </c>
      <c r="IP14" s="4" t="str">
        <f t="shared" si="35"/>
        <v/>
      </c>
      <c r="IQ14" s="4" t="str">
        <f t="shared" si="36"/>
        <v/>
      </c>
      <c r="IR14" s="4" t="str">
        <f t="shared" si="37"/>
        <v/>
      </c>
      <c r="IS14" s="4" t="str">
        <f t="shared" si="38"/>
        <v/>
      </c>
      <c r="IT14" s="4" t="str">
        <f t="shared" si="39"/>
        <v/>
      </c>
      <c r="IU14" s="4" t="str">
        <f t="shared" si="40"/>
        <v/>
      </c>
      <c r="IV14" s="4" t="str">
        <f t="shared" si="41"/>
        <v/>
      </c>
      <c r="IW14" s="4" t="str">
        <f t="shared" si="42"/>
        <v/>
      </c>
      <c r="IX14" s="4" t="str">
        <f t="shared" si="43"/>
        <v/>
      </c>
      <c r="IY14" s="4" t="str">
        <f t="shared" si="44"/>
        <v/>
      </c>
      <c r="IZ14" s="4" t="str">
        <f t="shared" si="45"/>
        <v/>
      </c>
      <c r="JA14" s="4" t="str">
        <f t="shared" ref="JA14:JB14" si="230">if(ISERROR(SEARCH("Higher Education",BB14)),"","810")</f>
        <v/>
      </c>
      <c r="JB14" s="4" t="str">
        <f t="shared" si="230"/>
        <v/>
      </c>
      <c r="JC14" s="4" t="str">
        <f t="shared" si="47"/>
        <v/>
      </c>
      <c r="JD14" s="4" t="str">
        <f t="shared" si="48"/>
        <v/>
      </c>
      <c r="JE14" s="4" t="str">
        <f t="shared" si="49"/>
        <v/>
      </c>
      <c r="JF14" s="4" t="str">
        <f t="shared" si="50"/>
        <v/>
      </c>
      <c r="JG14" s="4" t="str">
        <f t="shared" si="51"/>
        <v/>
      </c>
      <c r="JH14" s="4" t="str">
        <f t="shared" si="52"/>
        <v/>
      </c>
      <c r="JI14" s="4" t="str">
        <f t="shared" si="53"/>
        <v/>
      </c>
      <c r="JJ14" s="4" t="str">
        <f t="shared" si="54"/>
        <v/>
      </c>
      <c r="JK14" s="4" t="str">
        <f t="shared" si="55"/>
        <v/>
      </c>
      <c r="JL14" s="4" t="str">
        <f t="shared" si="56"/>
        <v/>
      </c>
      <c r="JM14" s="4" t="str">
        <f t="shared" si="57"/>
        <v/>
      </c>
      <c r="JN14" s="4" t="str">
        <f t="shared" si="58"/>
        <v/>
      </c>
      <c r="JO14" s="4" t="str">
        <f t="shared" si="59"/>
        <v/>
      </c>
      <c r="JP14" s="4" t="str">
        <f t="shared" si="60"/>
        <v/>
      </c>
      <c r="JQ14" s="4" t="str">
        <f t="shared" si="61"/>
        <v/>
      </c>
      <c r="JR14" s="4" t="str">
        <f t="shared" si="62"/>
        <v/>
      </c>
      <c r="JS14" s="4" t="str">
        <f t="shared" si="63"/>
        <v/>
      </c>
      <c r="JT14" s="4" t="str">
        <f t="shared" si="64"/>
        <v/>
      </c>
      <c r="JU14" s="4" t="str">
        <f t="shared" si="65"/>
        <v/>
      </c>
      <c r="JV14" s="4" t="str">
        <f t="shared" si="66"/>
        <v/>
      </c>
      <c r="JW14" s="4" t="str">
        <f t="shared" si="67"/>
        <v/>
      </c>
      <c r="JX14" s="4" t="str">
        <f t="shared" si="68"/>
        <v/>
      </c>
      <c r="JY14" s="4" t="str">
        <f t="shared" si="69"/>
        <v/>
      </c>
      <c r="JZ14" s="4" t="str">
        <f t="shared" si="70"/>
        <v/>
      </c>
      <c r="KA14" s="4" t="str">
        <f t="shared" si="71"/>
        <v/>
      </c>
      <c r="KB14" s="4" t="str">
        <f t="shared" si="72"/>
        <v/>
      </c>
      <c r="KC14" s="4" t="str">
        <f t="shared" si="73"/>
        <v/>
      </c>
      <c r="KD14" s="4" t="str">
        <f t="shared" si="74"/>
        <v/>
      </c>
      <c r="KE14" s="4" t="str">
        <f t="shared" si="75"/>
        <v/>
      </c>
      <c r="KF14" s="4" t="str">
        <f t="shared" si="76"/>
        <v/>
      </c>
      <c r="KG14" s="4" t="str">
        <f t="shared" si="77"/>
        <v/>
      </c>
      <c r="KH14" s="4" t="str">
        <f t="shared" si="78"/>
        <v/>
      </c>
      <c r="KI14" s="4" t="str">
        <f t="shared" si="79"/>
        <v/>
      </c>
      <c r="KJ14" s="4" t="str">
        <f t="shared" si="80"/>
        <v/>
      </c>
      <c r="KK14" s="4" t="str">
        <f t="shared" si="81"/>
        <v/>
      </c>
      <c r="KL14" s="4" t="str">
        <f t="shared" si="82"/>
        <v/>
      </c>
      <c r="KM14" s="4" t="str">
        <f t="shared" si="83"/>
        <v/>
      </c>
      <c r="KN14" s="4" t="str">
        <f t="shared" si="84"/>
        <v/>
      </c>
      <c r="KO14" s="4" t="str">
        <f t="shared" si="85"/>
        <v/>
      </c>
      <c r="KP14" s="4" t="str">
        <f t="shared" si="86"/>
        <v/>
      </c>
      <c r="KQ14" s="4" t="str">
        <f t="shared" si="87"/>
        <v/>
      </c>
      <c r="KR14" s="4" t="str">
        <f t="shared" si="88"/>
        <v/>
      </c>
      <c r="KS14" s="4" t="str">
        <f t="shared" si="89"/>
        <v/>
      </c>
      <c r="KT14" s="4" t="str">
        <f t="shared" si="90"/>
        <v/>
      </c>
      <c r="KU14" s="4" t="str">
        <f t="shared" si="91"/>
        <v/>
      </c>
      <c r="KV14" s="4" t="str">
        <f t="shared" si="92"/>
        <v/>
      </c>
      <c r="KW14" s="4" t="str">
        <f t="shared" si="93"/>
        <v/>
      </c>
      <c r="KX14" s="4" t="str">
        <f t="shared" si="94"/>
        <v/>
      </c>
      <c r="KY14" s="4" t="str">
        <f t="shared" si="95"/>
        <v/>
      </c>
      <c r="KZ14" s="4" t="str">
        <f t="shared" si="96"/>
        <v/>
      </c>
      <c r="LA14" s="4" t="str">
        <f t="shared" si="97"/>
        <v/>
      </c>
      <c r="LB14" s="4" t="str">
        <f t="shared" si="98"/>
        <v/>
      </c>
      <c r="LC14" s="4" t="str">
        <f t="shared" si="99"/>
        <v/>
      </c>
      <c r="LD14" s="4" t="str">
        <f t="shared" si="100"/>
        <v/>
      </c>
      <c r="LE14" s="4" t="str">
        <f t="shared" si="101"/>
        <v/>
      </c>
      <c r="LF14" s="4" t="str">
        <f t="shared" si="102"/>
        <v/>
      </c>
      <c r="LG14" s="4" t="str">
        <f t="shared" si="103"/>
        <v/>
      </c>
      <c r="LH14" s="4" t="str">
        <f t="shared" si="104"/>
        <v/>
      </c>
      <c r="LI14" s="4" t="str">
        <f t="shared" si="105"/>
        <v/>
      </c>
      <c r="LJ14" s="4" t="str">
        <f t="shared" si="106"/>
        <v/>
      </c>
      <c r="LK14" s="4" t="str">
        <f t="shared" si="107"/>
        <v/>
      </c>
      <c r="LL14" s="4" t="str">
        <f t="shared" si="108"/>
        <v/>
      </c>
      <c r="LM14" s="4" t="str">
        <f t="shared" si="109"/>
        <v/>
      </c>
      <c r="LN14" s="4" t="str">
        <f t="shared" si="110"/>
        <v/>
      </c>
      <c r="LO14" s="4" t="str">
        <f t="shared" si="111"/>
        <v/>
      </c>
      <c r="LP14" s="4" t="str">
        <f t="shared" si="112"/>
        <v/>
      </c>
      <c r="LQ14" s="4" t="str">
        <f t="shared" si="113"/>
        <v/>
      </c>
      <c r="LR14" s="4" t="str">
        <f t="shared" si="114"/>
        <v/>
      </c>
      <c r="LS14" s="4" t="str">
        <f t="shared" si="115"/>
        <v/>
      </c>
      <c r="LT14" s="4" t="str">
        <f t="shared" si="116"/>
        <v/>
      </c>
      <c r="LU14" s="4" t="str">
        <f t="shared" si="117"/>
        <v/>
      </c>
      <c r="LV14" s="4" t="str">
        <f t="shared" si="118"/>
        <v/>
      </c>
      <c r="LW14" s="4" t="str">
        <f t="shared" si="119"/>
        <v/>
      </c>
      <c r="LX14" s="4" t="str">
        <f t="shared" si="120"/>
        <v/>
      </c>
      <c r="LY14" s="4" t="str">
        <f t="shared" si="121"/>
        <v/>
      </c>
      <c r="LZ14" s="4" t="str">
        <f t="shared" si="122"/>
        <v/>
      </c>
      <c r="MA14" s="4" t="str">
        <f t="shared" si="123"/>
        <v/>
      </c>
      <c r="MB14" s="4" t="str">
        <f t="shared" si="124"/>
        <v/>
      </c>
      <c r="MC14" s="4" t="str">
        <f t="shared" si="125"/>
        <v/>
      </c>
      <c r="MD14" s="4" t="str">
        <f t="shared" si="126"/>
        <v/>
      </c>
      <c r="ME14" s="4" t="str">
        <f t="shared" si="127"/>
        <v/>
      </c>
      <c r="MF14" s="4" t="str">
        <f t="shared" si="128"/>
        <v/>
      </c>
      <c r="MG14" s="4" t="str">
        <f t="shared" si="129"/>
        <v/>
      </c>
      <c r="MH14" s="4" t="str">
        <f t="shared" si="130"/>
        <v/>
      </c>
      <c r="MI14" s="4" t="str">
        <f t="shared" si="131"/>
        <v/>
      </c>
      <c r="MJ14" s="4" t="str">
        <f t="shared" si="132"/>
        <v/>
      </c>
      <c r="MK14" s="4" t="str">
        <f t="shared" si="133"/>
        <v/>
      </c>
      <c r="ML14" s="4" t="str">
        <f t="shared" si="134"/>
        <v/>
      </c>
      <c r="MM14" s="4" t="str">
        <f t="shared" si="135"/>
        <v/>
      </c>
      <c r="MN14" s="4" t="str">
        <f t="shared" si="136"/>
        <v/>
      </c>
      <c r="MO14" s="4" t="str">
        <f t="shared" si="137"/>
        <v/>
      </c>
      <c r="MP14" s="4" t="str">
        <f t="shared" si="138"/>
        <v/>
      </c>
      <c r="MQ14" s="4" t="str">
        <f t="shared" si="139"/>
        <v/>
      </c>
      <c r="MR14" s="4" t="str">
        <f t="shared" si="140"/>
        <v/>
      </c>
      <c r="MS14" s="4" t="str">
        <f t="shared" si="141"/>
        <v/>
      </c>
      <c r="MT14" s="4" t="str">
        <f t="shared" si="142"/>
        <v/>
      </c>
      <c r="MU14" s="4" t="str">
        <f t="shared" si="143"/>
        <v/>
      </c>
      <c r="MV14" s="4" t="str">
        <f t="shared" si="144"/>
        <v/>
      </c>
      <c r="MW14" s="4" t="str">
        <f t="shared" si="145"/>
        <v/>
      </c>
      <c r="MX14" s="4" t="str">
        <f t="shared" si="146"/>
        <v/>
      </c>
      <c r="MY14" s="4" t="str">
        <f t="shared" si="147"/>
        <v/>
      </c>
      <c r="MZ14" s="4" t="str">
        <f t="shared" si="148"/>
        <v/>
      </c>
      <c r="NA14" s="4" t="str">
        <f t="shared" si="149"/>
        <v/>
      </c>
      <c r="NB14" s="4" t="str">
        <f t="shared" si="150"/>
        <v/>
      </c>
      <c r="NC14" s="4" t="str">
        <f t="shared" si="151"/>
        <v/>
      </c>
      <c r="ND14" s="4" t="str">
        <f t="shared" si="152"/>
        <v/>
      </c>
      <c r="NE14" s="4" t="str">
        <f t="shared" si="153"/>
        <v/>
      </c>
      <c r="NF14" s="4" t="str">
        <f t="shared" si="154"/>
        <v/>
      </c>
      <c r="NG14" s="4" t="str">
        <f t="shared" si="155"/>
        <v/>
      </c>
      <c r="NH14" s="4" t="str">
        <f t="shared" si="156"/>
        <v/>
      </c>
      <c r="NI14" s="4" t="str">
        <f t="shared" si="157"/>
        <v/>
      </c>
      <c r="NJ14" s="4" t="str">
        <f t="shared" si="158"/>
        <v/>
      </c>
      <c r="NK14" s="4" t="str">
        <f t="shared" si="159"/>
        <v/>
      </c>
      <c r="NL14" s="4" t="str">
        <f t="shared" si="160"/>
        <v/>
      </c>
      <c r="NM14" s="4" t="str">
        <f t="shared" si="161"/>
        <v/>
      </c>
      <c r="NN14" s="4" t="str">
        <f t="shared" si="162"/>
        <v/>
      </c>
      <c r="NO14" s="4" t="str">
        <f t="shared" si="163"/>
        <v/>
      </c>
      <c r="NP14" s="4" t="str">
        <f t="shared" si="164"/>
        <v/>
      </c>
      <c r="NQ14" s="4" t="str">
        <f t="shared" si="165"/>
        <v/>
      </c>
      <c r="NR14" s="4" t="str">
        <f t="shared" si="166"/>
        <v/>
      </c>
      <c r="NS14" s="4" t="str">
        <f t="shared" si="167"/>
        <v/>
      </c>
      <c r="NT14" s="4" t="str">
        <f t="shared" si="168"/>
        <v/>
      </c>
      <c r="NU14" s="4" t="str">
        <f t="shared" si="169"/>
        <v/>
      </c>
      <c r="NV14" s="4" t="str">
        <f t="shared" si="170"/>
        <v/>
      </c>
      <c r="NW14" s="4" t="str">
        <f t="shared" si="171"/>
        <v/>
      </c>
      <c r="NX14" s="4" t="str">
        <f t="shared" si="172"/>
        <v/>
      </c>
      <c r="NY14" s="4" t="str">
        <f t="shared" si="173"/>
        <v/>
      </c>
      <c r="NZ14" s="4" t="str">
        <f t="shared" si="174"/>
        <v/>
      </c>
      <c r="OA14" s="4" t="str">
        <f t="shared" si="175"/>
        <v/>
      </c>
      <c r="OB14" s="4" t="str">
        <f t="shared" si="176"/>
        <v/>
      </c>
      <c r="OC14" s="4" t="str">
        <f t="shared" si="177"/>
        <v/>
      </c>
      <c r="OD14" s="4" t="str">
        <f t="shared" si="178"/>
        <v/>
      </c>
      <c r="OE14" s="4" t="str">
        <f t="shared" si="179"/>
        <v/>
      </c>
      <c r="OF14" s="4" t="str">
        <f t="shared" si="180"/>
        <v/>
      </c>
      <c r="OG14" s="4" t="str">
        <f t="shared" si="181"/>
        <v/>
      </c>
      <c r="OH14" s="4" t="str">
        <f t="shared" si="182"/>
        <v/>
      </c>
      <c r="OI14" s="4" t="str">
        <f t="shared" si="183"/>
        <v/>
      </c>
      <c r="OJ14" s="4" t="str">
        <f t="shared" si="184"/>
        <v/>
      </c>
      <c r="OK14" s="4" t="str">
        <f t="shared" si="185"/>
        <v/>
      </c>
      <c r="OL14" s="4" t="str">
        <f t="shared" si="186"/>
        <v/>
      </c>
      <c r="OM14" s="4" t="str">
        <f t="shared" si="187"/>
        <v/>
      </c>
      <c r="ON14" s="4" t="str">
        <f t="shared" si="188"/>
        <v/>
      </c>
      <c r="OO14" s="4" t="str">
        <f t="shared" si="189"/>
        <v/>
      </c>
      <c r="OP14" s="4" t="str">
        <f t="shared" si="190"/>
        <v/>
      </c>
      <c r="OQ14" s="4" t="str">
        <f t="shared" si="191"/>
        <v/>
      </c>
      <c r="OR14" s="4" t="str">
        <f t="shared" si="192"/>
        <v/>
      </c>
      <c r="OS14" s="4" t="str">
        <f t="shared" si="193"/>
        <v/>
      </c>
      <c r="OT14" s="4" t="str">
        <f t="shared" si="194"/>
        <v/>
      </c>
      <c r="OU14" s="4" t="str">
        <f t="shared" si="195"/>
        <v/>
      </c>
      <c r="OV14" s="4" t="str">
        <f t="shared" si="196"/>
        <v/>
      </c>
      <c r="OW14" s="4" t="str">
        <f t="shared" si="197"/>
        <v/>
      </c>
      <c r="OX14" s="4" t="str">
        <f t="shared" si="198"/>
        <v/>
      </c>
      <c r="OY14" s="4" t="str">
        <f t="shared" si="199"/>
        <v/>
      </c>
      <c r="OZ14" s="4" t="str">
        <f t="shared" si="200"/>
        <v/>
      </c>
      <c r="PA14" s="4" t="str">
        <f t="shared" si="201"/>
        <v/>
      </c>
      <c r="PB14" s="4" t="str">
        <f t="shared" si="202"/>
        <v/>
      </c>
      <c r="PC14" s="4" t="str">
        <f t="shared" si="203"/>
        <v/>
      </c>
      <c r="PD14" s="4" t="str">
        <f t="shared" si="204"/>
        <v/>
      </c>
      <c r="PE14" s="4" t="str">
        <f t="shared" si="205"/>
        <v/>
      </c>
      <c r="PF14" s="4" t="str">
        <f t="shared" si="206"/>
        <v/>
      </c>
      <c r="PG14" s="4" t="str">
        <f t="shared" si="207"/>
        <v/>
      </c>
      <c r="PH14" s="4" t="str">
        <f t="shared" si="208"/>
        <v/>
      </c>
      <c r="PI14" s="4" t="str">
        <f t="shared" si="209"/>
        <v/>
      </c>
      <c r="PJ14" s="4" t="str">
        <f t="shared" si="210"/>
        <v/>
      </c>
      <c r="PK14" s="4" t="str">
        <f t="shared" si="211"/>
        <v/>
      </c>
      <c r="PL14" s="4" t="str">
        <f t="shared" si="212"/>
        <v/>
      </c>
      <c r="PM14" s="4" t="str">
        <f t="shared" si="213"/>
        <v/>
      </c>
      <c r="PN14" s="4" t="str">
        <f t="shared" si="214"/>
        <v/>
      </c>
      <c r="PO14" s="4" t="str">
        <f t="shared" si="215"/>
        <v/>
      </c>
      <c r="PP14" s="4" t="str">
        <f t="shared" si="216"/>
        <v/>
      </c>
      <c r="PQ14" s="4" t="str">
        <f t="shared" si="217"/>
        <v/>
      </c>
      <c r="PR14" s="4" t="str">
        <f t="shared" si="218"/>
        <v/>
      </c>
      <c r="PS14" s="4" t="str">
        <f t="shared" si="219"/>
        <v/>
      </c>
    </row>
    <row r="15">
      <c r="HI15" s="4" t="str">
        <f t="shared" si="2"/>
        <v/>
      </c>
      <c r="HJ15" s="4" t="str">
        <f t="shared" si="3"/>
        <v/>
      </c>
      <c r="HK15" s="4" t="str">
        <f t="shared" si="4"/>
        <v/>
      </c>
      <c r="HL15" s="4" t="str">
        <f t="shared" si="5"/>
        <v/>
      </c>
      <c r="HM15" s="4" t="str">
        <f t="shared" si="6"/>
        <v/>
      </c>
      <c r="HN15" s="4" t="str">
        <f t="shared" si="7"/>
        <v/>
      </c>
      <c r="HO15" s="4" t="str">
        <f t="shared" si="8"/>
        <v/>
      </c>
      <c r="HP15" s="4" t="str">
        <f t="shared" si="9"/>
        <v/>
      </c>
      <c r="HQ15" s="4" t="str">
        <f t="shared" si="10"/>
        <v/>
      </c>
      <c r="HR15" s="4" t="str">
        <f t="shared" si="11"/>
        <v/>
      </c>
      <c r="HS15" s="4" t="str">
        <f t="shared" si="12"/>
        <v/>
      </c>
      <c r="HT15" s="4" t="str">
        <f t="shared" si="13"/>
        <v/>
      </c>
      <c r="HU15" s="4" t="str">
        <f t="shared" si="14"/>
        <v/>
      </c>
      <c r="HV15" s="4" t="str">
        <f t="shared" si="15"/>
        <v/>
      </c>
      <c r="HW15" s="4" t="str">
        <f t="shared" si="16"/>
        <v/>
      </c>
      <c r="HX15" s="4" t="str">
        <f t="shared" si="17"/>
        <v/>
      </c>
      <c r="HY15" s="4" t="str">
        <f t="shared" si="18"/>
        <v/>
      </c>
      <c r="HZ15" s="4" t="str">
        <f t="shared" si="19"/>
        <v/>
      </c>
      <c r="IA15" s="4" t="str">
        <f t="shared" si="20"/>
        <v/>
      </c>
      <c r="IB15" s="4" t="str">
        <f t="shared" si="21"/>
        <v/>
      </c>
      <c r="IC15" s="4" t="str">
        <f t="shared" si="22"/>
        <v/>
      </c>
      <c r="ID15" s="4" t="str">
        <f t="shared" si="23"/>
        <v/>
      </c>
      <c r="IE15" s="4" t="str">
        <f t="shared" si="24"/>
        <v/>
      </c>
      <c r="IF15" s="4" t="str">
        <f t="shared" si="25"/>
        <v/>
      </c>
      <c r="IG15" s="4" t="str">
        <f t="shared" si="26"/>
        <v/>
      </c>
      <c r="IH15" s="4" t="str">
        <f t="shared" si="27"/>
        <v/>
      </c>
      <c r="II15" s="4" t="str">
        <f t="shared" si="28"/>
        <v/>
      </c>
      <c r="IJ15" s="4" t="str">
        <f t="shared" si="29"/>
        <v/>
      </c>
      <c r="IK15" s="4" t="str">
        <f t="shared" si="30"/>
        <v/>
      </c>
      <c r="IL15" s="4" t="str">
        <f t="shared" si="31"/>
        <v/>
      </c>
      <c r="IM15" s="4" t="str">
        <f t="shared" si="32"/>
        <v/>
      </c>
      <c r="IN15" s="4" t="str">
        <f t="shared" si="33"/>
        <v/>
      </c>
      <c r="IO15" s="4" t="str">
        <f t="shared" si="34"/>
        <v/>
      </c>
      <c r="IP15" s="4" t="str">
        <f t="shared" si="35"/>
        <v/>
      </c>
      <c r="IQ15" s="4" t="str">
        <f t="shared" si="36"/>
        <v/>
      </c>
      <c r="IR15" s="4" t="str">
        <f t="shared" si="37"/>
        <v/>
      </c>
      <c r="IS15" s="4" t="str">
        <f t="shared" si="38"/>
        <v/>
      </c>
      <c r="IT15" s="4" t="str">
        <f t="shared" si="39"/>
        <v/>
      </c>
      <c r="IU15" s="4" t="str">
        <f t="shared" si="40"/>
        <v/>
      </c>
      <c r="IV15" s="4" t="str">
        <f t="shared" si="41"/>
        <v/>
      </c>
      <c r="IW15" s="4" t="str">
        <f t="shared" si="42"/>
        <v/>
      </c>
      <c r="IX15" s="4" t="str">
        <f t="shared" si="43"/>
        <v/>
      </c>
      <c r="IY15" s="4" t="str">
        <f t="shared" si="44"/>
        <v/>
      </c>
      <c r="IZ15" s="4" t="str">
        <f t="shared" si="45"/>
        <v/>
      </c>
      <c r="JA15" s="4" t="str">
        <f t="shared" ref="JA15:JB15" si="231">if(ISERROR(SEARCH("Higher Education",BB15)),"","810")</f>
        <v/>
      </c>
      <c r="JB15" s="4" t="str">
        <f t="shared" si="231"/>
        <v/>
      </c>
      <c r="JC15" s="4" t="str">
        <f t="shared" si="47"/>
        <v/>
      </c>
      <c r="JD15" s="4" t="str">
        <f t="shared" si="48"/>
        <v/>
      </c>
      <c r="JE15" s="4" t="str">
        <f t="shared" si="49"/>
        <v/>
      </c>
      <c r="JF15" s="4" t="str">
        <f t="shared" si="50"/>
        <v/>
      </c>
      <c r="JG15" s="4" t="str">
        <f t="shared" si="51"/>
        <v/>
      </c>
      <c r="JH15" s="4" t="str">
        <f t="shared" si="52"/>
        <v/>
      </c>
      <c r="JI15" s="4" t="str">
        <f t="shared" si="53"/>
        <v/>
      </c>
      <c r="JJ15" s="4" t="str">
        <f t="shared" si="54"/>
        <v/>
      </c>
      <c r="JK15" s="4" t="str">
        <f t="shared" si="55"/>
        <v/>
      </c>
      <c r="JL15" s="4" t="str">
        <f t="shared" si="56"/>
        <v/>
      </c>
      <c r="JM15" s="4" t="str">
        <f t="shared" si="57"/>
        <v/>
      </c>
      <c r="JN15" s="4" t="str">
        <f t="shared" si="58"/>
        <v/>
      </c>
      <c r="JO15" s="4" t="str">
        <f t="shared" si="59"/>
        <v/>
      </c>
      <c r="JP15" s="4" t="str">
        <f t="shared" si="60"/>
        <v/>
      </c>
      <c r="JQ15" s="4" t="str">
        <f t="shared" si="61"/>
        <v/>
      </c>
      <c r="JR15" s="4" t="str">
        <f t="shared" si="62"/>
        <v/>
      </c>
      <c r="JS15" s="4" t="str">
        <f t="shared" si="63"/>
        <v/>
      </c>
      <c r="JT15" s="4" t="str">
        <f t="shared" si="64"/>
        <v/>
      </c>
      <c r="JU15" s="4" t="str">
        <f t="shared" si="65"/>
        <v/>
      </c>
      <c r="JV15" s="4" t="str">
        <f t="shared" si="66"/>
        <v/>
      </c>
      <c r="JW15" s="4" t="str">
        <f t="shared" si="67"/>
        <v/>
      </c>
      <c r="JX15" s="4" t="str">
        <f t="shared" si="68"/>
        <v/>
      </c>
      <c r="JY15" s="4" t="str">
        <f t="shared" si="69"/>
        <v/>
      </c>
      <c r="JZ15" s="4" t="str">
        <f t="shared" si="70"/>
        <v/>
      </c>
      <c r="KA15" s="4" t="str">
        <f t="shared" si="71"/>
        <v/>
      </c>
      <c r="KB15" s="4" t="str">
        <f t="shared" si="72"/>
        <v/>
      </c>
      <c r="KC15" s="4" t="str">
        <f t="shared" si="73"/>
        <v/>
      </c>
      <c r="KD15" s="4" t="str">
        <f t="shared" si="74"/>
        <v/>
      </c>
      <c r="KE15" s="4" t="str">
        <f t="shared" si="75"/>
        <v/>
      </c>
      <c r="KF15" s="4" t="str">
        <f t="shared" si="76"/>
        <v/>
      </c>
      <c r="KG15" s="4" t="str">
        <f t="shared" si="77"/>
        <v/>
      </c>
      <c r="KH15" s="4" t="str">
        <f t="shared" si="78"/>
        <v/>
      </c>
      <c r="KI15" s="4" t="str">
        <f t="shared" si="79"/>
        <v/>
      </c>
      <c r="KJ15" s="4" t="str">
        <f t="shared" si="80"/>
        <v/>
      </c>
      <c r="KK15" s="4" t="str">
        <f t="shared" si="81"/>
        <v/>
      </c>
      <c r="KL15" s="4" t="str">
        <f t="shared" si="82"/>
        <v/>
      </c>
      <c r="KM15" s="4" t="str">
        <f t="shared" si="83"/>
        <v/>
      </c>
      <c r="KN15" s="4" t="str">
        <f t="shared" si="84"/>
        <v/>
      </c>
      <c r="KO15" s="4" t="str">
        <f t="shared" si="85"/>
        <v/>
      </c>
      <c r="KP15" s="4" t="str">
        <f t="shared" si="86"/>
        <v/>
      </c>
      <c r="KQ15" s="4" t="str">
        <f t="shared" si="87"/>
        <v/>
      </c>
      <c r="KR15" s="4" t="str">
        <f t="shared" si="88"/>
        <v/>
      </c>
      <c r="KS15" s="4" t="str">
        <f t="shared" si="89"/>
        <v/>
      </c>
      <c r="KT15" s="4" t="str">
        <f t="shared" si="90"/>
        <v/>
      </c>
      <c r="KU15" s="4" t="str">
        <f t="shared" si="91"/>
        <v/>
      </c>
      <c r="KV15" s="4" t="str">
        <f t="shared" si="92"/>
        <v/>
      </c>
      <c r="KW15" s="4" t="str">
        <f t="shared" si="93"/>
        <v/>
      </c>
      <c r="KX15" s="4" t="str">
        <f t="shared" si="94"/>
        <v/>
      </c>
      <c r="KY15" s="4" t="str">
        <f t="shared" si="95"/>
        <v/>
      </c>
      <c r="KZ15" s="4" t="str">
        <f t="shared" si="96"/>
        <v/>
      </c>
      <c r="LA15" s="4" t="str">
        <f t="shared" si="97"/>
        <v/>
      </c>
      <c r="LB15" s="4" t="str">
        <f t="shared" si="98"/>
        <v/>
      </c>
      <c r="LC15" s="4" t="str">
        <f t="shared" si="99"/>
        <v/>
      </c>
      <c r="LD15" s="4" t="str">
        <f t="shared" si="100"/>
        <v/>
      </c>
      <c r="LE15" s="4" t="str">
        <f t="shared" si="101"/>
        <v/>
      </c>
      <c r="LF15" s="4" t="str">
        <f t="shared" si="102"/>
        <v/>
      </c>
      <c r="LG15" s="4" t="str">
        <f t="shared" si="103"/>
        <v/>
      </c>
      <c r="LH15" s="4" t="str">
        <f t="shared" si="104"/>
        <v/>
      </c>
      <c r="LI15" s="4" t="str">
        <f t="shared" si="105"/>
        <v/>
      </c>
      <c r="LJ15" s="4" t="str">
        <f t="shared" si="106"/>
        <v/>
      </c>
      <c r="LK15" s="4" t="str">
        <f t="shared" si="107"/>
        <v/>
      </c>
      <c r="LL15" s="4" t="str">
        <f t="shared" si="108"/>
        <v/>
      </c>
      <c r="LM15" s="4" t="str">
        <f t="shared" si="109"/>
        <v/>
      </c>
      <c r="LN15" s="4" t="str">
        <f t="shared" si="110"/>
        <v/>
      </c>
      <c r="LO15" s="4" t="str">
        <f t="shared" si="111"/>
        <v/>
      </c>
      <c r="LP15" s="4" t="str">
        <f t="shared" si="112"/>
        <v/>
      </c>
      <c r="LQ15" s="4" t="str">
        <f t="shared" si="113"/>
        <v/>
      </c>
      <c r="LR15" s="4" t="str">
        <f t="shared" si="114"/>
        <v/>
      </c>
      <c r="LS15" s="4" t="str">
        <f t="shared" si="115"/>
        <v/>
      </c>
      <c r="LT15" s="4" t="str">
        <f t="shared" si="116"/>
        <v/>
      </c>
      <c r="LU15" s="4" t="str">
        <f t="shared" si="117"/>
        <v/>
      </c>
      <c r="LV15" s="4" t="str">
        <f t="shared" si="118"/>
        <v/>
      </c>
      <c r="LW15" s="4" t="str">
        <f t="shared" si="119"/>
        <v/>
      </c>
      <c r="LX15" s="4" t="str">
        <f t="shared" si="120"/>
        <v/>
      </c>
      <c r="LY15" s="4" t="str">
        <f t="shared" si="121"/>
        <v/>
      </c>
      <c r="LZ15" s="4" t="str">
        <f t="shared" si="122"/>
        <v/>
      </c>
      <c r="MA15" s="4" t="str">
        <f t="shared" si="123"/>
        <v/>
      </c>
      <c r="MB15" s="4" t="str">
        <f t="shared" si="124"/>
        <v/>
      </c>
      <c r="MC15" s="4" t="str">
        <f t="shared" si="125"/>
        <v/>
      </c>
      <c r="MD15" s="4" t="str">
        <f t="shared" si="126"/>
        <v/>
      </c>
      <c r="ME15" s="4" t="str">
        <f t="shared" si="127"/>
        <v/>
      </c>
      <c r="MF15" s="4" t="str">
        <f t="shared" si="128"/>
        <v/>
      </c>
      <c r="MG15" s="4" t="str">
        <f t="shared" si="129"/>
        <v/>
      </c>
      <c r="MH15" s="4" t="str">
        <f t="shared" si="130"/>
        <v/>
      </c>
      <c r="MI15" s="4" t="str">
        <f t="shared" si="131"/>
        <v/>
      </c>
      <c r="MJ15" s="4" t="str">
        <f t="shared" si="132"/>
        <v/>
      </c>
      <c r="MK15" s="4" t="str">
        <f t="shared" si="133"/>
        <v/>
      </c>
      <c r="ML15" s="4" t="str">
        <f t="shared" si="134"/>
        <v/>
      </c>
      <c r="MM15" s="4" t="str">
        <f t="shared" si="135"/>
        <v/>
      </c>
      <c r="MN15" s="4" t="str">
        <f t="shared" si="136"/>
        <v/>
      </c>
      <c r="MO15" s="4" t="str">
        <f t="shared" si="137"/>
        <v/>
      </c>
      <c r="MP15" s="4" t="str">
        <f t="shared" si="138"/>
        <v/>
      </c>
      <c r="MQ15" s="4" t="str">
        <f t="shared" si="139"/>
        <v/>
      </c>
      <c r="MR15" s="4" t="str">
        <f t="shared" si="140"/>
        <v/>
      </c>
      <c r="MS15" s="4" t="str">
        <f t="shared" si="141"/>
        <v/>
      </c>
      <c r="MT15" s="4" t="str">
        <f t="shared" si="142"/>
        <v/>
      </c>
      <c r="MU15" s="4" t="str">
        <f t="shared" si="143"/>
        <v/>
      </c>
      <c r="MV15" s="4" t="str">
        <f t="shared" si="144"/>
        <v/>
      </c>
      <c r="MW15" s="4" t="str">
        <f t="shared" si="145"/>
        <v/>
      </c>
      <c r="MX15" s="4" t="str">
        <f t="shared" si="146"/>
        <v/>
      </c>
      <c r="MY15" s="4" t="str">
        <f t="shared" si="147"/>
        <v/>
      </c>
      <c r="MZ15" s="4" t="str">
        <f t="shared" si="148"/>
        <v/>
      </c>
      <c r="NA15" s="4" t="str">
        <f t="shared" si="149"/>
        <v/>
      </c>
      <c r="NB15" s="4" t="str">
        <f t="shared" si="150"/>
        <v/>
      </c>
      <c r="NC15" s="4" t="str">
        <f t="shared" si="151"/>
        <v/>
      </c>
      <c r="ND15" s="4" t="str">
        <f t="shared" si="152"/>
        <v/>
      </c>
      <c r="NE15" s="4" t="str">
        <f t="shared" si="153"/>
        <v/>
      </c>
      <c r="NF15" s="4" t="str">
        <f t="shared" si="154"/>
        <v/>
      </c>
      <c r="NG15" s="4" t="str">
        <f t="shared" si="155"/>
        <v/>
      </c>
      <c r="NH15" s="4" t="str">
        <f t="shared" si="156"/>
        <v/>
      </c>
      <c r="NI15" s="4" t="str">
        <f t="shared" si="157"/>
        <v/>
      </c>
      <c r="NJ15" s="4" t="str">
        <f t="shared" si="158"/>
        <v/>
      </c>
      <c r="NK15" s="4" t="str">
        <f t="shared" si="159"/>
        <v/>
      </c>
      <c r="NL15" s="4" t="str">
        <f t="shared" si="160"/>
        <v/>
      </c>
      <c r="NM15" s="4" t="str">
        <f t="shared" si="161"/>
        <v/>
      </c>
      <c r="NN15" s="4" t="str">
        <f t="shared" si="162"/>
        <v/>
      </c>
      <c r="NO15" s="4" t="str">
        <f t="shared" si="163"/>
        <v/>
      </c>
      <c r="NP15" s="4" t="str">
        <f t="shared" si="164"/>
        <v/>
      </c>
      <c r="NQ15" s="4" t="str">
        <f t="shared" si="165"/>
        <v/>
      </c>
      <c r="NR15" s="4" t="str">
        <f t="shared" si="166"/>
        <v/>
      </c>
      <c r="NS15" s="4" t="str">
        <f t="shared" si="167"/>
        <v/>
      </c>
      <c r="NT15" s="4" t="str">
        <f t="shared" si="168"/>
        <v/>
      </c>
      <c r="NU15" s="4" t="str">
        <f t="shared" si="169"/>
        <v/>
      </c>
      <c r="NV15" s="4" t="str">
        <f t="shared" si="170"/>
        <v/>
      </c>
      <c r="NW15" s="4" t="str">
        <f t="shared" si="171"/>
        <v/>
      </c>
      <c r="NX15" s="4" t="str">
        <f t="shared" si="172"/>
        <v/>
      </c>
      <c r="NY15" s="4" t="str">
        <f t="shared" si="173"/>
        <v/>
      </c>
      <c r="NZ15" s="4" t="str">
        <f t="shared" si="174"/>
        <v/>
      </c>
      <c r="OA15" s="4" t="str">
        <f t="shared" si="175"/>
        <v/>
      </c>
      <c r="OB15" s="4" t="str">
        <f t="shared" si="176"/>
        <v/>
      </c>
      <c r="OC15" s="4" t="str">
        <f t="shared" si="177"/>
        <v/>
      </c>
      <c r="OD15" s="4" t="str">
        <f t="shared" si="178"/>
        <v/>
      </c>
      <c r="OE15" s="4" t="str">
        <f t="shared" si="179"/>
        <v/>
      </c>
      <c r="OF15" s="4" t="str">
        <f t="shared" si="180"/>
        <v/>
      </c>
      <c r="OG15" s="4" t="str">
        <f t="shared" si="181"/>
        <v/>
      </c>
      <c r="OH15" s="4" t="str">
        <f t="shared" si="182"/>
        <v/>
      </c>
      <c r="OI15" s="4" t="str">
        <f t="shared" si="183"/>
        <v/>
      </c>
      <c r="OJ15" s="4" t="str">
        <f t="shared" si="184"/>
        <v/>
      </c>
      <c r="OK15" s="4" t="str">
        <f t="shared" si="185"/>
        <v/>
      </c>
      <c r="OL15" s="4" t="str">
        <f t="shared" si="186"/>
        <v/>
      </c>
      <c r="OM15" s="4" t="str">
        <f t="shared" si="187"/>
        <v/>
      </c>
      <c r="ON15" s="4" t="str">
        <f t="shared" si="188"/>
        <v/>
      </c>
      <c r="OO15" s="4" t="str">
        <f t="shared" si="189"/>
        <v/>
      </c>
      <c r="OP15" s="4" t="str">
        <f t="shared" si="190"/>
        <v/>
      </c>
      <c r="OQ15" s="4" t="str">
        <f t="shared" si="191"/>
        <v/>
      </c>
      <c r="OR15" s="4" t="str">
        <f t="shared" si="192"/>
        <v/>
      </c>
      <c r="OS15" s="4" t="str">
        <f t="shared" si="193"/>
        <v/>
      </c>
      <c r="OT15" s="4" t="str">
        <f t="shared" si="194"/>
        <v/>
      </c>
      <c r="OU15" s="4" t="str">
        <f t="shared" si="195"/>
        <v/>
      </c>
      <c r="OV15" s="4" t="str">
        <f t="shared" si="196"/>
        <v/>
      </c>
      <c r="OW15" s="4" t="str">
        <f t="shared" si="197"/>
        <v/>
      </c>
      <c r="OX15" s="4" t="str">
        <f t="shared" si="198"/>
        <v/>
      </c>
      <c r="OY15" s="4" t="str">
        <f t="shared" si="199"/>
        <v/>
      </c>
      <c r="OZ15" s="4" t="str">
        <f t="shared" si="200"/>
        <v/>
      </c>
      <c r="PA15" s="4" t="str">
        <f t="shared" si="201"/>
        <v/>
      </c>
      <c r="PB15" s="4" t="str">
        <f t="shared" si="202"/>
        <v/>
      </c>
      <c r="PC15" s="4" t="str">
        <f t="shared" si="203"/>
        <v/>
      </c>
      <c r="PD15" s="4" t="str">
        <f t="shared" si="204"/>
        <v/>
      </c>
      <c r="PE15" s="4" t="str">
        <f t="shared" si="205"/>
        <v/>
      </c>
      <c r="PF15" s="4" t="str">
        <f t="shared" si="206"/>
        <v/>
      </c>
      <c r="PG15" s="4" t="str">
        <f t="shared" si="207"/>
        <v/>
      </c>
      <c r="PH15" s="4" t="str">
        <f t="shared" si="208"/>
        <v/>
      </c>
      <c r="PI15" s="4" t="str">
        <f t="shared" si="209"/>
        <v/>
      </c>
      <c r="PJ15" s="4" t="str">
        <f t="shared" si="210"/>
        <v/>
      </c>
      <c r="PK15" s="4" t="str">
        <f t="shared" si="211"/>
        <v/>
      </c>
      <c r="PL15" s="4" t="str">
        <f t="shared" si="212"/>
        <v/>
      </c>
      <c r="PM15" s="4" t="str">
        <f t="shared" si="213"/>
        <v/>
      </c>
      <c r="PN15" s="4" t="str">
        <f t="shared" si="214"/>
        <v/>
      </c>
      <c r="PO15" s="4" t="str">
        <f t="shared" si="215"/>
        <v/>
      </c>
      <c r="PP15" s="4" t="str">
        <f t="shared" si="216"/>
        <v/>
      </c>
      <c r="PQ15" s="4" t="str">
        <f t="shared" si="217"/>
        <v/>
      </c>
      <c r="PR15" s="4" t="str">
        <f t="shared" si="218"/>
        <v/>
      </c>
      <c r="PS15" s="4" t="str">
        <f t="shared" si="219"/>
        <v/>
      </c>
    </row>
    <row r="16">
      <c r="HI16" s="4" t="str">
        <f t="shared" si="2"/>
        <v/>
      </c>
      <c r="HJ16" s="4" t="str">
        <f t="shared" si="3"/>
        <v/>
      </c>
      <c r="HK16" s="4" t="str">
        <f t="shared" si="4"/>
        <v/>
      </c>
      <c r="HL16" s="4" t="str">
        <f t="shared" si="5"/>
        <v/>
      </c>
      <c r="HM16" s="4" t="str">
        <f t="shared" si="6"/>
        <v/>
      </c>
      <c r="HN16" s="4" t="str">
        <f t="shared" si="7"/>
        <v/>
      </c>
      <c r="HO16" s="4" t="str">
        <f t="shared" si="8"/>
        <v/>
      </c>
      <c r="HP16" s="4" t="str">
        <f t="shared" si="9"/>
        <v/>
      </c>
      <c r="HQ16" s="4" t="str">
        <f t="shared" si="10"/>
        <v/>
      </c>
      <c r="HR16" s="4" t="str">
        <f t="shared" si="11"/>
        <v/>
      </c>
      <c r="HS16" s="4" t="str">
        <f t="shared" si="12"/>
        <v/>
      </c>
      <c r="HT16" s="4" t="str">
        <f t="shared" si="13"/>
        <v/>
      </c>
      <c r="HU16" s="4" t="str">
        <f t="shared" si="14"/>
        <v/>
      </c>
      <c r="HV16" s="4" t="str">
        <f t="shared" si="15"/>
        <v/>
      </c>
      <c r="HW16" s="4" t="str">
        <f t="shared" si="16"/>
        <v/>
      </c>
      <c r="HX16" s="4" t="str">
        <f t="shared" si="17"/>
        <v/>
      </c>
      <c r="HY16" s="4" t="str">
        <f t="shared" si="18"/>
        <v/>
      </c>
      <c r="HZ16" s="4" t="str">
        <f t="shared" si="19"/>
        <v/>
      </c>
      <c r="IA16" s="4" t="str">
        <f t="shared" si="20"/>
        <v/>
      </c>
      <c r="IB16" s="4" t="str">
        <f t="shared" si="21"/>
        <v/>
      </c>
      <c r="IC16" s="4" t="str">
        <f t="shared" si="22"/>
        <v/>
      </c>
      <c r="ID16" s="4" t="str">
        <f t="shared" si="23"/>
        <v/>
      </c>
      <c r="IE16" s="4" t="str">
        <f t="shared" si="24"/>
        <v/>
      </c>
      <c r="IF16" s="4" t="str">
        <f t="shared" si="25"/>
        <v/>
      </c>
      <c r="IG16" s="4" t="str">
        <f t="shared" si="26"/>
        <v/>
      </c>
      <c r="IH16" s="4" t="str">
        <f t="shared" si="27"/>
        <v/>
      </c>
      <c r="II16" s="4" t="str">
        <f t="shared" si="28"/>
        <v/>
      </c>
      <c r="IJ16" s="4" t="str">
        <f t="shared" si="29"/>
        <v/>
      </c>
      <c r="IK16" s="4" t="str">
        <f t="shared" si="30"/>
        <v/>
      </c>
      <c r="IL16" s="4" t="str">
        <f t="shared" si="31"/>
        <v/>
      </c>
      <c r="IM16" s="4" t="str">
        <f t="shared" si="32"/>
        <v/>
      </c>
      <c r="IN16" s="4" t="str">
        <f t="shared" si="33"/>
        <v/>
      </c>
      <c r="IO16" s="4" t="str">
        <f t="shared" si="34"/>
        <v/>
      </c>
      <c r="IP16" s="4" t="str">
        <f t="shared" si="35"/>
        <v/>
      </c>
      <c r="IQ16" s="4" t="str">
        <f t="shared" si="36"/>
        <v/>
      </c>
      <c r="IR16" s="4" t="str">
        <f t="shared" si="37"/>
        <v/>
      </c>
      <c r="IS16" s="4" t="str">
        <f t="shared" si="38"/>
        <v/>
      </c>
      <c r="IT16" s="4" t="str">
        <f t="shared" si="39"/>
        <v/>
      </c>
      <c r="IU16" s="4" t="str">
        <f t="shared" si="40"/>
        <v/>
      </c>
      <c r="IV16" s="4" t="str">
        <f t="shared" si="41"/>
        <v/>
      </c>
      <c r="IW16" s="4" t="str">
        <f t="shared" si="42"/>
        <v/>
      </c>
      <c r="IX16" s="4" t="str">
        <f t="shared" si="43"/>
        <v/>
      </c>
      <c r="IY16" s="4" t="str">
        <f t="shared" si="44"/>
        <v/>
      </c>
      <c r="IZ16" s="4" t="str">
        <f t="shared" si="45"/>
        <v/>
      </c>
      <c r="JA16" s="4" t="str">
        <f t="shared" ref="JA16:JB16" si="232">if(ISERROR(SEARCH("Higher Education",BB16)),"","810")</f>
        <v/>
      </c>
      <c r="JB16" s="4" t="str">
        <f t="shared" si="232"/>
        <v/>
      </c>
      <c r="JC16" s="4" t="str">
        <f t="shared" si="47"/>
        <v/>
      </c>
      <c r="JD16" s="4" t="str">
        <f t="shared" si="48"/>
        <v/>
      </c>
      <c r="JE16" s="4" t="str">
        <f t="shared" si="49"/>
        <v/>
      </c>
      <c r="JF16" s="4" t="str">
        <f t="shared" si="50"/>
        <v/>
      </c>
      <c r="JG16" s="4" t="str">
        <f t="shared" si="51"/>
        <v/>
      </c>
      <c r="JH16" s="4" t="str">
        <f t="shared" si="52"/>
        <v/>
      </c>
      <c r="JI16" s="4" t="str">
        <f t="shared" si="53"/>
        <v/>
      </c>
      <c r="JJ16" s="4" t="str">
        <f t="shared" si="54"/>
        <v/>
      </c>
      <c r="JK16" s="4" t="str">
        <f t="shared" si="55"/>
        <v/>
      </c>
      <c r="JL16" s="4" t="str">
        <f t="shared" si="56"/>
        <v/>
      </c>
      <c r="JM16" s="4" t="str">
        <f t="shared" si="57"/>
        <v/>
      </c>
      <c r="JN16" s="4" t="str">
        <f t="shared" si="58"/>
        <v/>
      </c>
      <c r="JO16" s="4" t="str">
        <f t="shared" si="59"/>
        <v/>
      </c>
      <c r="JP16" s="4" t="str">
        <f t="shared" si="60"/>
        <v/>
      </c>
      <c r="JQ16" s="4" t="str">
        <f t="shared" si="61"/>
        <v/>
      </c>
      <c r="JR16" s="4" t="str">
        <f t="shared" si="62"/>
        <v/>
      </c>
      <c r="JS16" s="4" t="str">
        <f t="shared" si="63"/>
        <v/>
      </c>
      <c r="JT16" s="4" t="str">
        <f t="shared" si="64"/>
        <v/>
      </c>
      <c r="JU16" s="4" t="str">
        <f t="shared" si="65"/>
        <v/>
      </c>
      <c r="JV16" s="4" t="str">
        <f t="shared" si="66"/>
        <v/>
      </c>
      <c r="JW16" s="4" t="str">
        <f t="shared" si="67"/>
        <v/>
      </c>
      <c r="JX16" s="4" t="str">
        <f t="shared" si="68"/>
        <v/>
      </c>
      <c r="JY16" s="4" t="str">
        <f t="shared" si="69"/>
        <v/>
      </c>
      <c r="JZ16" s="4" t="str">
        <f t="shared" si="70"/>
        <v/>
      </c>
      <c r="KA16" s="4" t="str">
        <f t="shared" si="71"/>
        <v/>
      </c>
      <c r="KB16" s="4" t="str">
        <f t="shared" si="72"/>
        <v/>
      </c>
      <c r="KC16" s="4" t="str">
        <f t="shared" si="73"/>
        <v/>
      </c>
      <c r="KD16" s="4" t="str">
        <f t="shared" si="74"/>
        <v/>
      </c>
      <c r="KE16" s="4" t="str">
        <f t="shared" si="75"/>
        <v/>
      </c>
      <c r="KF16" s="4" t="str">
        <f t="shared" si="76"/>
        <v/>
      </c>
      <c r="KG16" s="4" t="str">
        <f t="shared" si="77"/>
        <v/>
      </c>
      <c r="KH16" s="4" t="str">
        <f t="shared" si="78"/>
        <v/>
      </c>
      <c r="KI16" s="4" t="str">
        <f t="shared" si="79"/>
        <v/>
      </c>
      <c r="KJ16" s="4" t="str">
        <f t="shared" si="80"/>
        <v/>
      </c>
      <c r="KK16" s="4" t="str">
        <f t="shared" si="81"/>
        <v/>
      </c>
      <c r="KL16" s="4" t="str">
        <f t="shared" si="82"/>
        <v/>
      </c>
      <c r="KM16" s="4" t="str">
        <f t="shared" si="83"/>
        <v/>
      </c>
      <c r="KN16" s="4" t="str">
        <f t="shared" si="84"/>
        <v/>
      </c>
      <c r="KO16" s="4" t="str">
        <f t="shared" si="85"/>
        <v/>
      </c>
      <c r="KP16" s="4" t="str">
        <f t="shared" si="86"/>
        <v/>
      </c>
      <c r="KQ16" s="4" t="str">
        <f t="shared" si="87"/>
        <v/>
      </c>
      <c r="KR16" s="4" t="str">
        <f t="shared" si="88"/>
        <v/>
      </c>
      <c r="KS16" s="4" t="str">
        <f t="shared" si="89"/>
        <v/>
      </c>
      <c r="KT16" s="4" t="str">
        <f t="shared" si="90"/>
        <v/>
      </c>
      <c r="KU16" s="4" t="str">
        <f t="shared" si="91"/>
        <v/>
      </c>
      <c r="KV16" s="4" t="str">
        <f t="shared" si="92"/>
        <v/>
      </c>
      <c r="KW16" s="4" t="str">
        <f t="shared" si="93"/>
        <v/>
      </c>
      <c r="KX16" s="4" t="str">
        <f t="shared" si="94"/>
        <v/>
      </c>
      <c r="KY16" s="4" t="str">
        <f t="shared" si="95"/>
        <v/>
      </c>
      <c r="KZ16" s="4" t="str">
        <f t="shared" si="96"/>
        <v/>
      </c>
      <c r="LA16" s="4" t="str">
        <f t="shared" si="97"/>
        <v/>
      </c>
      <c r="LB16" s="4" t="str">
        <f t="shared" si="98"/>
        <v/>
      </c>
      <c r="LC16" s="4" t="str">
        <f t="shared" si="99"/>
        <v/>
      </c>
      <c r="LD16" s="4" t="str">
        <f t="shared" si="100"/>
        <v/>
      </c>
      <c r="LE16" s="4" t="str">
        <f t="shared" si="101"/>
        <v/>
      </c>
      <c r="LF16" s="4" t="str">
        <f t="shared" si="102"/>
        <v/>
      </c>
      <c r="LG16" s="4" t="str">
        <f t="shared" si="103"/>
        <v/>
      </c>
      <c r="LH16" s="4" t="str">
        <f t="shared" si="104"/>
        <v/>
      </c>
      <c r="LI16" s="4" t="str">
        <f t="shared" si="105"/>
        <v/>
      </c>
      <c r="LJ16" s="4" t="str">
        <f t="shared" si="106"/>
        <v/>
      </c>
      <c r="LK16" s="4" t="str">
        <f t="shared" si="107"/>
        <v/>
      </c>
      <c r="LL16" s="4" t="str">
        <f t="shared" si="108"/>
        <v/>
      </c>
      <c r="LM16" s="4" t="str">
        <f t="shared" si="109"/>
        <v/>
      </c>
      <c r="LN16" s="4" t="str">
        <f t="shared" si="110"/>
        <v/>
      </c>
      <c r="LO16" s="4" t="str">
        <f t="shared" si="111"/>
        <v/>
      </c>
      <c r="LP16" s="4" t="str">
        <f t="shared" si="112"/>
        <v/>
      </c>
      <c r="LQ16" s="4" t="str">
        <f t="shared" si="113"/>
        <v/>
      </c>
      <c r="LR16" s="4" t="str">
        <f t="shared" si="114"/>
        <v/>
      </c>
      <c r="LS16" s="4" t="str">
        <f t="shared" si="115"/>
        <v/>
      </c>
      <c r="LT16" s="4" t="str">
        <f t="shared" si="116"/>
        <v/>
      </c>
      <c r="LU16" s="4" t="str">
        <f t="shared" si="117"/>
        <v/>
      </c>
      <c r="LV16" s="4" t="str">
        <f t="shared" si="118"/>
        <v/>
      </c>
      <c r="LW16" s="4" t="str">
        <f t="shared" si="119"/>
        <v/>
      </c>
      <c r="LX16" s="4" t="str">
        <f t="shared" si="120"/>
        <v/>
      </c>
      <c r="LY16" s="4" t="str">
        <f t="shared" si="121"/>
        <v/>
      </c>
      <c r="LZ16" s="4" t="str">
        <f t="shared" si="122"/>
        <v/>
      </c>
      <c r="MA16" s="4" t="str">
        <f t="shared" si="123"/>
        <v/>
      </c>
      <c r="MB16" s="4" t="str">
        <f t="shared" si="124"/>
        <v/>
      </c>
      <c r="MC16" s="4" t="str">
        <f t="shared" si="125"/>
        <v/>
      </c>
      <c r="MD16" s="4" t="str">
        <f t="shared" si="126"/>
        <v/>
      </c>
      <c r="ME16" s="4" t="str">
        <f t="shared" si="127"/>
        <v/>
      </c>
      <c r="MF16" s="4" t="str">
        <f t="shared" si="128"/>
        <v/>
      </c>
      <c r="MG16" s="4" t="str">
        <f t="shared" si="129"/>
        <v/>
      </c>
      <c r="MH16" s="4" t="str">
        <f t="shared" si="130"/>
        <v/>
      </c>
      <c r="MI16" s="4" t="str">
        <f t="shared" si="131"/>
        <v/>
      </c>
      <c r="MJ16" s="4" t="str">
        <f t="shared" si="132"/>
        <v/>
      </c>
      <c r="MK16" s="4" t="str">
        <f t="shared" si="133"/>
        <v/>
      </c>
      <c r="ML16" s="4" t="str">
        <f t="shared" si="134"/>
        <v/>
      </c>
      <c r="MM16" s="4" t="str">
        <f t="shared" si="135"/>
        <v/>
      </c>
      <c r="MN16" s="4" t="str">
        <f t="shared" si="136"/>
        <v/>
      </c>
      <c r="MO16" s="4" t="str">
        <f t="shared" si="137"/>
        <v/>
      </c>
      <c r="MP16" s="4" t="str">
        <f t="shared" si="138"/>
        <v/>
      </c>
      <c r="MQ16" s="4" t="str">
        <f t="shared" si="139"/>
        <v/>
      </c>
      <c r="MR16" s="4" t="str">
        <f t="shared" si="140"/>
        <v/>
      </c>
      <c r="MS16" s="4" t="str">
        <f t="shared" si="141"/>
        <v/>
      </c>
      <c r="MT16" s="4" t="str">
        <f t="shared" si="142"/>
        <v/>
      </c>
      <c r="MU16" s="4" t="str">
        <f t="shared" si="143"/>
        <v/>
      </c>
      <c r="MV16" s="4" t="str">
        <f t="shared" si="144"/>
        <v/>
      </c>
      <c r="MW16" s="4" t="str">
        <f t="shared" si="145"/>
        <v/>
      </c>
      <c r="MX16" s="4" t="str">
        <f t="shared" si="146"/>
        <v/>
      </c>
      <c r="MY16" s="4" t="str">
        <f t="shared" si="147"/>
        <v/>
      </c>
      <c r="MZ16" s="4" t="str">
        <f t="shared" si="148"/>
        <v/>
      </c>
      <c r="NA16" s="4" t="str">
        <f t="shared" si="149"/>
        <v/>
      </c>
      <c r="NB16" s="4" t="str">
        <f t="shared" si="150"/>
        <v/>
      </c>
      <c r="NC16" s="4" t="str">
        <f t="shared" si="151"/>
        <v/>
      </c>
      <c r="ND16" s="4" t="str">
        <f t="shared" si="152"/>
        <v/>
      </c>
      <c r="NE16" s="4" t="str">
        <f t="shared" si="153"/>
        <v/>
      </c>
      <c r="NF16" s="4" t="str">
        <f t="shared" si="154"/>
        <v/>
      </c>
      <c r="NG16" s="4" t="str">
        <f t="shared" si="155"/>
        <v/>
      </c>
      <c r="NH16" s="4" t="str">
        <f t="shared" si="156"/>
        <v/>
      </c>
      <c r="NI16" s="4" t="str">
        <f t="shared" si="157"/>
        <v/>
      </c>
      <c r="NJ16" s="4" t="str">
        <f t="shared" si="158"/>
        <v/>
      </c>
      <c r="NK16" s="4" t="str">
        <f t="shared" si="159"/>
        <v/>
      </c>
      <c r="NL16" s="4" t="str">
        <f t="shared" si="160"/>
        <v/>
      </c>
      <c r="NM16" s="4" t="str">
        <f t="shared" si="161"/>
        <v/>
      </c>
      <c r="NN16" s="4" t="str">
        <f t="shared" si="162"/>
        <v/>
      </c>
      <c r="NO16" s="4" t="str">
        <f t="shared" si="163"/>
        <v/>
      </c>
      <c r="NP16" s="4" t="str">
        <f t="shared" si="164"/>
        <v/>
      </c>
      <c r="NQ16" s="4" t="str">
        <f t="shared" si="165"/>
        <v/>
      </c>
      <c r="NR16" s="4" t="str">
        <f t="shared" si="166"/>
        <v/>
      </c>
      <c r="NS16" s="4" t="str">
        <f t="shared" si="167"/>
        <v/>
      </c>
      <c r="NT16" s="4" t="str">
        <f t="shared" si="168"/>
        <v/>
      </c>
      <c r="NU16" s="4" t="str">
        <f t="shared" si="169"/>
        <v/>
      </c>
      <c r="NV16" s="4" t="str">
        <f t="shared" si="170"/>
        <v/>
      </c>
      <c r="NW16" s="4" t="str">
        <f t="shared" si="171"/>
        <v/>
      </c>
      <c r="NX16" s="4" t="str">
        <f t="shared" si="172"/>
        <v/>
      </c>
      <c r="NY16" s="4" t="str">
        <f t="shared" si="173"/>
        <v/>
      </c>
      <c r="NZ16" s="4" t="str">
        <f t="shared" si="174"/>
        <v/>
      </c>
      <c r="OA16" s="4" t="str">
        <f t="shared" si="175"/>
        <v/>
      </c>
      <c r="OB16" s="4" t="str">
        <f t="shared" si="176"/>
        <v/>
      </c>
      <c r="OC16" s="4" t="str">
        <f t="shared" si="177"/>
        <v/>
      </c>
      <c r="OD16" s="4" t="str">
        <f t="shared" si="178"/>
        <v/>
      </c>
      <c r="OE16" s="4" t="str">
        <f t="shared" si="179"/>
        <v/>
      </c>
      <c r="OF16" s="4" t="str">
        <f t="shared" si="180"/>
        <v/>
      </c>
      <c r="OG16" s="4" t="str">
        <f t="shared" si="181"/>
        <v/>
      </c>
      <c r="OH16" s="4" t="str">
        <f t="shared" si="182"/>
        <v/>
      </c>
      <c r="OI16" s="4" t="str">
        <f t="shared" si="183"/>
        <v/>
      </c>
      <c r="OJ16" s="4" t="str">
        <f t="shared" si="184"/>
        <v/>
      </c>
      <c r="OK16" s="4" t="str">
        <f t="shared" si="185"/>
        <v/>
      </c>
      <c r="OL16" s="4" t="str">
        <f t="shared" si="186"/>
        <v/>
      </c>
      <c r="OM16" s="4" t="str">
        <f t="shared" si="187"/>
        <v/>
      </c>
      <c r="ON16" s="4" t="str">
        <f t="shared" si="188"/>
        <v/>
      </c>
      <c r="OO16" s="4" t="str">
        <f t="shared" si="189"/>
        <v/>
      </c>
      <c r="OP16" s="4" t="str">
        <f t="shared" si="190"/>
        <v/>
      </c>
      <c r="OQ16" s="4" t="str">
        <f t="shared" si="191"/>
        <v/>
      </c>
      <c r="OR16" s="4" t="str">
        <f t="shared" si="192"/>
        <v/>
      </c>
      <c r="OS16" s="4" t="str">
        <f t="shared" si="193"/>
        <v/>
      </c>
      <c r="OT16" s="4" t="str">
        <f t="shared" si="194"/>
        <v/>
      </c>
      <c r="OU16" s="4" t="str">
        <f t="shared" si="195"/>
        <v/>
      </c>
      <c r="OV16" s="4" t="str">
        <f t="shared" si="196"/>
        <v/>
      </c>
      <c r="OW16" s="4" t="str">
        <f t="shared" si="197"/>
        <v/>
      </c>
      <c r="OX16" s="4" t="str">
        <f t="shared" si="198"/>
        <v/>
      </c>
      <c r="OY16" s="4" t="str">
        <f t="shared" si="199"/>
        <v/>
      </c>
      <c r="OZ16" s="4" t="str">
        <f t="shared" si="200"/>
        <v/>
      </c>
      <c r="PA16" s="4" t="str">
        <f t="shared" si="201"/>
        <v/>
      </c>
      <c r="PB16" s="4" t="str">
        <f t="shared" si="202"/>
        <v/>
      </c>
      <c r="PC16" s="4" t="str">
        <f t="shared" si="203"/>
        <v/>
      </c>
      <c r="PD16" s="4" t="str">
        <f t="shared" si="204"/>
        <v/>
      </c>
      <c r="PE16" s="4" t="str">
        <f t="shared" si="205"/>
        <v/>
      </c>
      <c r="PF16" s="4" t="str">
        <f t="shared" si="206"/>
        <v/>
      </c>
      <c r="PG16" s="4" t="str">
        <f t="shared" si="207"/>
        <v/>
      </c>
      <c r="PH16" s="4" t="str">
        <f t="shared" si="208"/>
        <v/>
      </c>
      <c r="PI16" s="4" t="str">
        <f t="shared" si="209"/>
        <v/>
      </c>
      <c r="PJ16" s="4" t="str">
        <f t="shared" si="210"/>
        <v/>
      </c>
      <c r="PK16" s="4" t="str">
        <f t="shared" si="211"/>
        <v/>
      </c>
      <c r="PL16" s="4" t="str">
        <f t="shared" si="212"/>
        <v/>
      </c>
      <c r="PM16" s="4" t="str">
        <f t="shared" si="213"/>
        <v/>
      </c>
      <c r="PN16" s="4" t="str">
        <f t="shared" si="214"/>
        <v/>
      </c>
      <c r="PO16" s="4" t="str">
        <f t="shared" si="215"/>
        <v/>
      </c>
      <c r="PP16" s="4" t="str">
        <f t="shared" si="216"/>
        <v/>
      </c>
      <c r="PQ16" s="4" t="str">
        <f t="shared" si="217"/>
        <v/>
      </c>
      <c r="PR16" s="4" t="str">
        <f t="shared" si="218"/>
        <v/>
      </c>
      <c r="PS16" s="4" t="str">
        <f t="shared" si="219"/>
        <v/>
      </c>
    </row>
    <row r="17">
      <c r="HI17" s="4" t="str">
        <f t="shared" si="2"/>
        <v/>
      </c>
      <c r="HJ17" s="4" t="str">
        <f t="shared" si="3"/>
        <v/>
      </c>
      <c r="HK17" s="4" t="str">
        <f t="shared" si="4"/>
        <v/>
      </c>
      <c r="HL17" s="4" t="str">
        <f t="shared" si="5"/>
        <v/>
      </c>
      <c r="HM17" s="4" t="str">
        <f t="shared" si="6"/>
        <v/>
      </c>
      <c r="HN17" s="4" t="str">
        <f t="shared" si="7"/>
        <v/>
      </c>
      <c r="HO17" s="4" t="str">
        <f t="shared" si="8"/>
        <v/>
      </c>
      <c r="HP17" s="4" t="str">
        <f t="shared" si="9"/>
        <v/>
      </c>
      <c r="HQ17" s="4" t="str">
        <f t="shared" si="10"/>
        <v/>
      </c>
      <c r="HR17" s="4" t="str">
        <f t="shared" si="11"/>
        <v/>
      </c>
      <c r="HS17" s="4" t="str">
        <f t="shared" si="12"/>
        <v/>
      </c>
      <c r="HT17" s="4" t="str">
        <f t="shared" si="13"/>
        <v/>
      </c>
      <c r="HU17" s="4" t="str">
        <f t="shared" si="14"/>
        <v/>
      </c>
      <c r="HV17" s="4" t="str">
        <f t="shared" si="15"/>
        <v/>
      </c>
      <c r="HW17" s="4" t="str">
        <f t="shared" si="16"/>
        <v/>
      </c>
      <c r="HX17" s="4" t="str">
        <f t="shared" si="17"/>
        <v/>
      </c>
      <c r="HY17" s="4" t="str">
        <f t="shared" si="18"/>
        <v/>
      </c>
      <c r="HZ17" s="4" t="str">
        <f t="shared" si="19"/>
        <v/>
      </c>
      <c r="IA17" s="4" t="str">
        <f t="shared" si="20"/>
        <v/>
      </c>
      <c r="IB17" s="4" t="str">
        <f t="shared" si="21"/>
        <v/>
      </c>
      <c r="IC17" s="4" t="str">
        <f t="shared" si="22"/>
        <v/>
      </c>
      <c r="ID17" s="4" t="str">
        <f t="shared" si="23"/>
        <v/>
      </c>
      <c r="IE17" s="4" t="str">
        <f t="shared" si="24"/>
        <v/>
      </c>
      <c r="IF17" s="4" t="str">
        <f t="shared" si="25"/>
        <v/>
      </c>
      <c r="IG17" s="4" t="str">
        <f t="shared" si="26"/>
        <v/>
      </c>
      <c r="IH17" s="4" t="str">
        <f t="shared" si="27"/>
        <v/>
      </c>
      <c r="II17" s="4" t="str">
        <f t="shared" si="28"/>
        <v/>
      </c>
      <c r="IJ17" s="4" t="str">
        <f t="shared" si="29"/>
        <v/>
      </c>
      <c r="IK17" s="4" t="str">
        <f t="shared" si="30"/>
        <v/>
      </c>
      <c r="IL17" s="4" t="str">
        <f t="shared" si="31"/>
        <v/>
      </c>
      <c r="IM17" s="4" t="str">
        <f t="shared" si="32"/>
        <v/>
      </c>
      <c r="IN17" s="4" t="str">
        <f t="shared" si="33"/>
        <v/>
      </c>
      <c r="IO17" s="4" t="str">
        <f t="shared" si="34"/>
        <v/>
      </c>
      <c r="IP17" s="4" t="str">
        <f t="shared" si="35"/>
        <v/>
      </c>
      <c r="IQ17" s="4" t="str">
        <f t="shared" si="36"/>
        <v/>
      </c>
      <c r="IR17" s="4" t="str">
        <f t="shared" si="37"/>
        <v/>
      </c>
      <c r="IS17" s="4" t="str">
        <f t="shared" si="38"/>
        <v/>
      </c>
      <c r="IT17" s="4" t="str">
        <f t="shared" si="39"/>
        <v/>
      </c>
      <c r="IU17" s="4" t="str">
        <f t="shared" si="40"/>
        <v/>
      </c>
      <c r="IV17" s="4" t="str">
        <f t="shared" si="41"/>
        <v/>
      </c>
      <c r="IW17" s="4" t="str">
        <f t="shared" si="42"/>
        <v/>
      </c>
      <c r="IX17" s="4" t="str">
        <f t="shared" si="43"/>
        <v/>
      </c>
      <c r="IY17" s="4" t="str">
        <f t="shared" si="44"/>
        <v/>
      </c>
      <c r="IZ17" s="4" t="str">
        <f t="shared" si="45"/>
        <v/>
      </c>
      <c r="JA17" s="4" t="str">
        <f t="shared" ref="JA17:JB17" si="233">if(ISERROR(SEARCH("Higher Education",BB17)),"","810")</f>
        <v/>
      </c>
      <c r="JB17" s="4" t="str">
        <f t="shared" si="233"/>
        <v/>
      </c>
      <c r="JC17" s="4" t="str">
        <f t="shared" si="47"/>
        <v/>
      </c>
      <c r="JD17" s="4" t="str">
        <f t="shared" si="48"/>
        <v/>
      </c>
      <c r="JE17" s="4" t="str">
        <f t="shared" si="49"/>
        <v/>
      </c>
      <c r="JF17" s="4" t="str">
        <f t="shared" si="50"/>
        <v/>
      </c>
      <c r="JG17" s="4" t="str">
        <f t="shared" si="51"/>
        <v/>
      </c>
      <c r="JH17" s="4" t="str">
        <f t="shared" si="52"/>
        <v/>
      </c>
      <c r="JI17" s="4" t="str">
        <f t="shared" si="53"/>
        <v/>
      </c>
      <c r="JJ17" s="4" t="str">
        <f t="shared" si="54"/>
        <v/>
      </c>
      <c r="JK17" s="4" t="str">
        <f t="shared" si="55"/>
        <v/>
      </c>
      <c r="JL17" s="4" t="str">
        <f t="shared" si="56"/>
        <v/>
      </c>
      <c r="JM17" s="4" t="str">
        <f t="shared" si="57"/>
        <v/>
      </c>
      <c r="JN17" s="4" t="str">
        <f t="shared" si="58"/>
        <v/>
      </c>
      <c r="JO17" s="4" t="str">
        <f t="shared" si="59"/>
        <v/>
      </c>
      <c r="JP17" s="4" t="str">
        <f t="shared" si="60"/>
        <v/>
      </c>
      <c r="JQ17" s="4" t="str">
        <f t="shared" si="61"/>
        <v/>
      </c>
      <c r="JR17" s="4" t="str">
        <f t="shared" si="62"/>
        <v/>
      </c>
      <c r="JS17" s="4" t="str">
        <f t="shared" si="63"/>
        <v/>
      </c>
      <c r="JT17" s="4" t="str">
        <f t="shared" si="64"/>
        <v/>
      </c>
      <c r="JU17" s="4" t="str">
        <f t="shared" si="65"/>
        <v/>
      </c>
      <c r="JV17" s="4" t="str">
        <f t="shared" si="66"/>
        <v/>
      </c>
      <c r="JW17" s="4" t="str">
        <f t="shared" si="67"/>
        <v/>
      </c>
      <c r="JX17" s="4" t="str">
        <f t="shared" si="68"/>
        <v/>
      </c>
      <c r="JY17" s="4" t="str">
        <f t="shared" si="69"/>
        <v/>
      </c>
      <c r="JZ17" s="4" t="str">
        <f t="shared" si="70"/>
        <v/>
      </c>
      <c r="KA17" s="4" t="str">
        <f t="shared" si="71"/>
        <v/>
      </c>
      <c r="KB17" s="4" t="str">
        <f t="shared" si="72"/>
        <v/>
      </c>
      <c r="KC17" s="4" t="str">
        <f t="shared" si="73"/>
        <v/>
      </c>
      <c r="KD17" s="4" t="str">
        <f t="shared" si="74"/>
        <v/>
      </c>
      <c r="KE17" s="4" t="str">
        <f t="shared" si="75"/>
        <v/>
      </c>
      <c r="KF17" s="4" t="str">
        <f t="shared" si="76"/>
        <v/>
      </c>
      <c r="KG17" s="4" t="str">
        <f t="shared" si="77"/>
        <v/>
      </c>
      <c r="KH17" s="4" t="str">
        <f t="shared" si="78"/>
        <v/>
      </c>
      <c r="KI17" s="4" t="str">
        <f t="shared" si="79"/>
        <v/>
      </c>
      <c r="KJ17" s="4" t="str">
        <f t="shared" si="80"/>
        <v/>
      </c>
      <c r="KK17" s="4" t="str">
        <f t="shared" si="81"/>
        <v/>
      </c>
      <c r="KL17" s="4" t="str">
        <f t="shared" si="82"/>
        <v/>
      </c>
      <c r="KM17" s="4" t="str">
        <f t="shared" si="83"/>
        <v/>
      </c>
      <c r="KN17" s="4" t="str">
        <f t="shared" si="84"/>
        <v/>
      </c>
      <c r="KO17" s="4" t="str">
        <f t="shared" si="85"/>
        <v/>
      </c>
      <c r="KP17" s="4" t="str">
        <f t="shared" si="86"/>
        <v/>
      </c>
      <c r="KQ17" s="4" t="str">
        <f t="shared" si="87"/>
        <v/>
      </c>
      <c r="KR17" s="4" t="str">
        <f t="shared" si="88"/>
        <v/>
      </c>
      <c r="KS17" s="4" t="str">
        <f t="shared" si="89"/>
        <v/>
      </c>
      <c r="KT17" s="4" t="str">
        <f t="shared" si="90"/>
        <v/>
      </c>
      <c r="KU17" s="4" t="str">
        <f t="shared" si="91"/>
        <v/>
      </c>
      <c r="KV17" s="4" t="str">
        <f t="shared" si="92"/>
        <v/>
      </c>
      <c r="KW17" s="4" t="str">
        <f t="shared" si="93"/>
        <v/>
      </c>
      <c r="KX17" s="4" t="str">
        <f t="shared" si="94"/>
        <v/>
      </c>
      <c r="KY17" s="4" t="str">
        <f t="shared" si="95"/>
        <v/>
      </c>
      <c r="KZ17" s="4" t="str">
        <f t="shared" si="96"/>
        <v/>
      </c>
      <c r="LA17" s="4" t="str">
        <f t="shared" si="97"/>
        <v/>
      </c>
      <c r="LB17" s="4" t="str">
        <f t="shared" si="98"/>
        <v/>
      </c>
      <c r="LC17" s="4" t="str">
        <f t="shared" si="99"/>
        <v/>
      </c>
      <c r="LD17" s="4" t="str">
        <f t="shared" si="100"/>
        <v/>
      </c>
      <c r="LE17" s="4" t="str">
        <f t="shared" si="101"/>
        <v/>
      </c>
      <c r="LF17" s="4" t="str">
        <f t="shared" si="102"/>
        <v/>
      </c>
      <c r="LG17" s="4" t="str">
        <f t="shared" si="103"/>
        <v/>
      </c>
      <c r="LH17" s="4" t="str">
        <f t="shared" si="104"/>
        <v/>
      </c>
      <c r="LI17" s="4" t="str">
        <f t="shared" si="105"/>
        <v/>
      </c>
      <c r="LJ17" s="4" t="str">
        <f t="shared" si="106"/>
        <v/>
      </c>
      <c r="LK17" s="4" t="str">
        <f t="shared" si="107"/>
        <v/>
      </c>
      <c r="LL17" s="4" t="str">
        <f t="shared" si="108"/>
        <v/>
      </c>
      <c r="LM17" s="4" t="str">
        <f t="shared" si="109"/>
        <v/>
      </c>
      <c r="LN17" s="4" t="str">
        <f t="shared" si="110"/>
        <v/>
      </c>
      <c r="LO17" s="4" t="str">
        <f t="shared" si="111"/>
        <v/>
      </c>
      <c r="LP17" s="4" t="str">
        <f t="shared" si="112"/>
        <v/>
      </c>
      <c r="LQ17" s="4" t="str">
        <f t="shared" si="113"/>
        <v/>
      </c>
      <c r="LR17" s="4" t="str">
        <f t="shared" si="114"/>
        <v/>
      </c>
      <c r="LS17" s="4" t="str">
        <f t="shared" si="115"/>
        <v/>
      </c>
      <c r="LT17" s="4" t="str">
        <f t="shared" si="116"/>
        <v/>
      </c>
      <c r="LU17" s="4" t="str">
        <f t="shared" si="117"/>
        <v/>
      </c>
      <c r="LV17" s="4" t="str">
        <f t="shared" si="118"/>
        <v/>
      </c>
      <c r="LW17" s="4" t="str">
        <f t="shared" si="119"/>
        <v/>
      </c>
      <c r="LX17" s="4" t="str">
        <f t="shared" si="120"/>
        <v/>
      </c>
      <c r="LY17" s="4" t="str">
        <f t="shared" si="121"/>
        <v/>
      </c>
      <c r="LZ17" s="4" t="str">
        <f t="shared" si="122"/>
        <v/>
      </c>
      <c r="MA17" s="4" t="str">
        <f t="shared" si="123"/>
        <v/>
      </c>
      <c r="MB17" s="4" t="str">
        <f t="shared" si="124"/>
        <v/>
      </c>
      <c r="MC17" s="4" t="str">
        <f t="shared" si="125"/>
        <v/>
      </c>
      <c r="MD17" s="4" t="str">
        <f t="shared" si="126"/>
        <v/>
      </c>
      <c r="ME17" s="4" t="str">
        <f t="shared" si="127"/>
        <v/>
      </c>
      <c r="MF17" s="4" t="str">
        <f t="shared" si="128"/>
        <v/>
      </c>
      <c r="MG17" s="4" t="str">
        <f t="shared" si="129"/>
        <v/>
      </c>
      <c r="MH17" s="4" t="str">
        <f t="shared" si="130"/>
        <v/>
      </c>
      <c r="MI17" s="4" t="str">
        <f t="shared" si="131"/>
        <v/>
      </c>
      <c r="MJ17" s="4" t="str">
        <f t="shared" si="132"/>
        <v/>
      </c>
      <c r="MK17" s="4" t="str">
        <f t="shared" si="133"/>
        <v/>
      </c>
      <c r="ML17" s="4" t="str">
        <f t="shared" si="134"/>
        <v/>
      </c>
      <c r="MM17" s="4" t="str">
        <f t="shared" si="135"/>
        <v/>
      </c>
      <c r="MN17" s="4" t="str">
        <f t="shared" si="136"/>
        <v/>
      </c>
      <c r="MO17" s="4" t="str">
        <f t="shared" si="137"/>
        <v/>
      </c>
      <c r="MP17" s="4" t="str">
        <f t="shared" si="138"/>
        <v/>
      </c>
      <c r="MQ17" s="4" t="str">
        <f t="shared" si="139"/>
        <v/>
      </c>
      <c r="MR17" s="4" t="str">
        <f t="shared" si="140"/>
        <v/>
      </c>
      <c r="MS17" s="4" t="str">
        <f t="shared" si="141"/>
        <v/>
      </c>
      <c r="MT17" s="4" t="str">
        <f t="shared" si="142"/>
        <v/>
      </c>
      <c r="MU17" s="4" t="str">
        <f t="shared" si="143"/>
        <v/>
      </c>
      <c r="MV17" s="4" t="str">
        <f t="shared" si="144"/>
        <v/>
      </c>
      <c r="MW17" s="4" t="str">
        <f t="shared" si="145"/>
        <v/>
      </c>
      <c r="MX17" s="4" t="str">
        <f t="shared" si="146"/>
        <v/>
      </c>
      <c r="MY17" s="4" t="str">
        <f t="shared" si="147"/>
        <v/>
      </c>
      <c r="MZ17" s="4" t="str">
        <f t="shared" si="148"/>
        <v/>
      </c>
      <c r="NA17" s="4" t="str">
        <f t="shared" si="149"/>
        <v/>
      </c>
      <c r="NB17" s="4" t="str">
        <f t="shared" si="150"/>
        <v/>
      </c>
      <c r="NC17" s="4" t="str">
        <f t="shared" si="151"/>
        <v/>
      </c>
      <c r="ND17" s="4" t="str">
        <f t="shared" si="152"/>
        <v/>
      </c>
      <c r="NE17" s="4" t="str">
        <f t="shared" si="153"/>
        <v/>
      </c>
      <c r="NF17" s="4" t="str">
        <f t="shared" si="154"/>
        <v/>
      </c>
      <c r="NG17" s="4" t="str">
        <f t="shared" si="155"/>
        <v/>
      </c>
      <c r="NH17" s="4" t="str">
        <f t="shared" si="156"/>
        <v/>
      </c>
      <c r="NI17" s="4" t="str">
        <f t="shared" si="157"/>
        <v/>
      </c>
      <c r="NJ17" s="4" t="str">
        <f t="shared" si="158"/>
        <v/>
      </c>
      <c r="NK17" s="4" t="str">
        <f t="shared" si="159"/>
        <v/>
      </c>
      <c r="NL17" s="4" t="str">
        <f t="shared" si="160"/>
        <v/>
      </c>
      <c r="NM17" s="4" t="str">
        <f t="shared" si="161"/>
        <v/>
      </c>
      <c r="NN17" s="4" t="str">
        <f t="shared" si="162"/>
        <v/>
      </c>
      <c r="NO17" s="4" t="str">
        <f t="shared" si="163"/>
        <v/>
      </c>
      <c r="NP17" s="4" t="str">
        <f t="shared" si="164"/>
        <v/>
      </c>
      <c r="NQ17" s="4" t="str">
        <f t="shared" si="165"/>
        <v/>
      </c>
      <c r="NR17" s="4" t="str">
        <f t="shared" si="166"/>
        <v/>
      </c>
      <c r="NS17" s="4" t="str">
        <f t="shared" si="167"/>
        <v/>
      </c>
      <c r="NT17" s="4" t="str">
        <f t="shared" si="168"/>
        <v/>
      </c>
      <c r="NU17" s="4" t="str">
        <f t="shared" si="169"/>
        <v/>
      </c>
      <c r="NV17" s="4" t="str">
        <f t="shared" si="170"/>
        <v/>
      </c>
      <c r="NW17" s="4" t="str">
        <f t="shared" si="171"/>
        <v/>
      </c>
      <c r="NX17" s="4" t="str">
        <f t="shared" si="172"/>
        <v/>
      </c>
      <c r="NY17" s="4" t="str">
        <f t="shared" si="173"/>
        <v/>
      </c>
      <c r="NZ17" s="4" t="str">
        <f t="shared" si="174"/>
        <v/>
      </c>
      <c r="OA17" s="4" t="str">
        <f t="shared" si="175"/>
        <v/>
      </c>
      <c r="OB17" s="4" t="str">
        <f t="shared" si="176"/>
        <v/>
      </c>
      <c r="OC17" s="4" t="str">
        <f t="shared" si="177"/>
        <v/>
      </c>
      <c r="OD17" s="4" t="str">
        <f t="shared" si="178"/>
        <v/>
      </c>
      <c r="OE17" s="4" t="str">
        <f t="shared" si="179"/>
        <v/>
      </c>
      <c r="OF17" s="4" t="str">
        <f t="shared" si="180"/>
        <v/>
      </c>
      <c r="OG17" s="4" t="str">
        <f t="shared" si="181"/>
        <v/>
      </c>
      <c r="OH17" s="4" t="str">
        <f t="shared" si="182"/>
        <v/>
      </c>
      <c r="OI17" s="4" t="str">
        <f t="shared" si="183"/>
        <v/>
      </c>
      <c r="OJ17" s="4" t="str">
        <f t="shared" si="184"/>
        <v/>
      </c>
      <c r="OK17" s="4" t="str">
        <f t="shared" si="185"/>
        <v/>
      </c>
      <c r="OL17" s="4" t="str">
        <f t="shared" si="186"/>
        <v/>
      </c>
      <c r="OM17" s="4" t="str">
        <f t="shared" si="187"/>
        <v/>
      </c>
      <c r="ON17" s="4" t="str">
        <f t="shared" si="188"/>
        <v/>
      </c>
      <c r="OO17" s="4" t="str">
        <f t="shared" si="189"/>
        <v/>
      </c>
      <c r="OP17" s="4" t="str">
        <f t="shared" si="190"/>
        <v/>
      </c>
      <c r="OQ17" s="4" t="str">
        <f t="shared" si="191"/>
        <v/>
      </c>
      <c r="OR17" s="4" t="str">
        <f t="shared" si="192"/>
        <v/>
      </c>
      <c r="OS17" s="4" t="str">
        <f t="shared" si="193"/>
        <v/>
      </c>
      <c r="OT17" s="4" t="str">
        <f t="shared" si="194"/>
        <v/>
      </c>
      <c r="OU17" s="4" t="str">
        <f t="shared" si="195"/>
        <v/>
      </c>
      <c r="OV17" s="4" t="str">
        <f t="shared" si="196"/>
        <v/>
      </c>
      <c r="OW17" s="4" t="str">
        <f t="shared" si="197"/>
        <v/>
      </c>
      <c r="OX17" s="4" t="str">
        <f t="shared" si="198"/>
        <v/>
      </c>
      <c r="OY17" s="4" t="str">
        <f t="shared" si="199"/>
        <v/>
      </c>
      <c r="OZ17" s="4" t="str">
        <f t="shared" si="200"/>
        <v/>
      </c>
      <c r="PA17" s="4" t="str">
        <f t="shared" si="201"/>
        <v/>
      </c>
      <c r="PB17" s="4" t="str">
        <f t="shared" si="202"/>
        <v/>
      </c>
      <c r="PC17" s="4" t="str">
        <f t="shared" si="203"/>
        <v/>
      </c>
      <c r="PD17" s="4" t="str">
        <f t="shared" si="204"/>
        <v/>
      </c>
      <c r="PE17" s="4" t="str">
        <f t="shared" si="205"/>
        <v/>
      </c>
      <c r="PF17" s="4" t="str">
        <f t="shared" si="206"/>
        <v/>
      </c>
      <c r="PG17" s="4" t="str">
        <f t="shared" si="207"/>
        <v/>
      </c>
      <c r="PH17" s="4" t="str">
        <f t="shared" si="208"/>
        <v/>
      </c>
      <c r="PI17" s="4" t="str">
        <f t="shared" si="209"/>
        <v/>
      </c>
      <c r="PJ17" s="4" t="str">
        <f t="shared" si="210"/>
        <v/>
      </c>
      <c r="PK17" s="4" t="str">
        <f t="shared" si="211"/>
        <v/>
      </c>
      <c r="PL17" s="4" t="str">
        <f t="shared" si="212"/>
        <v/>
      </c>
      <c r="PM17" s="4" t="str">
        <f t="shared" si="213"/>
        <v/>
      </c>
      <c r="PN17" s="4" t="str">
        <f t="shared" si="214"/>
        <v/>
      </c>
      <c r="PO17" s="4" t="str">
        <f t="shared" si="215"/>
        <v/>
      </c>
      <c r="PP17" s="4" t="str">
        <f t="shared" si="216"/>
        <v/>
      </c>
      <c r="PQ17" s="4" t="str">
        <f t="shared" si="217"/>
        <v/>
      </c>
      <c r="PR17" s="4" t="str">
        <f t="shared" si="218"/>
        <v/>
      </c>
      <c r="PS17" s="4" t="str">
        <f t="shared" si="219"/>
        <v/>
      </c>
    </row>
    <row r="18">
      <c r="HI18" s="4" t="str">
        <f t="shared" si="2"/>
        <v/>
      </c>
      <c r="HJ18" s="4" t="str">
        <f t="shared" si="3"/>
        <v/>
      </c>
      <c r="HK18" s="4" t="str">
        <f t="shared" si="4"/>
        <v/>
      </c>
      <c r="HL18" s="4" t="str">
        <f t="shared" si="5"/>
        <v/>
      </c>
      <c r="HM18" s="4" t="str">
        <f t="shared" si="6"/>
        <v/>
      </c>
      <c r="HN18" s="4" t="str">
        <f t="shared" si="7"/>
        <v/>
      </c>
      <c r="HO18" s="4" t="str">
        <f t="shared" si="8"/>
        <v/>
      </c>
      <c r="HP18" s="4" t="str">
        <f t="shared" si="9"/>
        <v/>
      </c>
      <c r="HQ18" s="4" t="str">
        <f t="shared" si="10"/>
        <v/>
      </c>
      <c r="HR18" s="4" t="str">
        <f t="shared" si="11"/>
        <v/>
      </c>
      <c r="HS18" s="4" t="str">
        <f t="shared" si="12"/>
        <v/>
      </c>
      <c r="HT18" s="4" t="str">
        <f t="shared" si="13"/>
        <v/>
      </c>
      <c r="HU18" s="4" t="str">
        <f t="shared" si="14"/>
        <v/>
      </c>
      <c r="HV18" s="4" t="str">
        <f t="shared" si="15"/>
        <v/>
      </c>
      <c r="HW18" s="4" t="str">
        <f t="shared" si="16"/>
        <v/>
      </c>
      <c r="HX18" s="4" t="str">
        <f t="shared" si="17"/>
        <v/>
      </c>
      <c r="HY18" s="4" t="str">
        <f t="shared" si="18"/>
        <v/>
      </c>
      <c r="HZ18" s="4" t="str">
        <f t="shared" si="19"/>
        <v/>
      </c>
      <c r="IA18" s="4" t="str">
        <f t="shared" si="20"/>
        <v/>
      </c>
      <c r="IB18" s="4" t="str">
        <f t="shared" si="21"/>
        <v/>
      </c>
      <c r="IC18" s="4" t="str">
        <f t="shared" si="22"/>
        <v/>
      </c>
      <c r="ID18" s="4" t="str">
        <f t="shared" si="23"/>
        <v/>
      </c>
      <c r="IE18" s="4" t="str">
        <f t="shared" si="24"/>
        <v/>
      </c>
      <c r="IF18" s="4" t="str">
        <f t="shared" si="25"/>
        <v/>
      </c>
      <c r="IG18" s="4" t="str">
        <f t="shared" si="26"/>
        <v/>
      </c>
      <c r="IH18" s="4" t="str">
        <f t="shared" si="27"/>
        <v/>
      </c>
      <c r="II18" s="4" t="str">
        <f t="shared" si="28"/>
        <v/>
      </c>
      <c r="IJ18" s="4" t="str">
        <f t="shared" si="29"/>
        <v/>
      </c>
      <c r="IK18" s="4" t="str">
        <f t="shared" si="30"/>
        <v/>
      </c>
      <c r="IL18" s="4" t="str">
        <f t="shared" si="31"/>
        <v/>
      </c>
      <c r="IM18" s="4" t="str">
        <f t="shared" si="32"/>
        <v/>
      </c>
      <c r="IN18" s="4" t="str">
        <f t="shared" si="33"/>
        <v/>
      </c>
      <c r="IO18" s="4" t="str">
        <f t="shared" si="34"/>
        <v/>
      </c>
      <c r="IP18" s="4" t="str">
        <f t="shared" si="35"/>
        <v/>
      </c>
      <c r="IQ18" s="4" t="str">
        <f t="shared" si="36"/>
        <v/>
      </c>
      <c r="IR18" s="4" t="str">
        <f t="shared" si="37"/>
        <v/>
      </c>
      <c r="IS18" s="4" t="str">
        <f t="shared" si="38"/>
        <v/>
      </c>
      <c r="IT18" s="4" t="str">
        <f t="shared" si="39"/>
        <v/>
      </c>
      <c r="IU18" s="4" t="str">
        <f t="shared" si="40"/>
        <v/>
      </c>
      <c r="IV18" s="4" t="str">
        <f t="shared" si="41"/>
        <v/>
      </c>
      <c r="IW18" s="4" t="str">
        <f t="shared" si="42"/>
        <v/>
      </c>
      <c r="IX18" s="4" t="str">
        <f t="shared" si="43"/>
        <v/>
      </c>
      <c r="IY18" s="4" t="str">
        <f t="shared" si="44"/>
        <v/>
      </c>
      <c r="IZ18" s="4" t="str">
        <f t="shared" si="45"/>
        <v/>
      </c>
      <c r="JA18" s="4" t="str">
        <f t="shared" ref="JA18:JB18" si="234">if(ISERROR(SEARCH("Higher Education",BB18)),"","810")</f>
        <v/>
      </c>
      <c r="JB18" s="4" t="str">
        <f t="shared" si="234"/>
        <v/>
      </c>
      <c r="JC18" s="4" t="str">
        <f t="shared" si="47"/>
        <v/>
      </c>
      <c r="JD18" s="4" t="str">
        <f t="shared" si="48"/>
        <v/>
      </c>
      <c r="JE18" s="4" t="str">
        <f t="shared" si="49"/>
        <v/>
      </c>
      <c r="JF18" s="4" t="str">
        <f t="shared" si="50"/>
        <v/>
      </c>
      <c r="JG18" s="4" t="str">
        <f t="shared" si="51"/>
        <v/>
      </c>
      <c r="JH18" s="4" t="str">
        <f t="shared" si="52"/>
        <v/>
      </c>
      <c r="JI18" s="4" t="str">
        <f t="shared" si="53"/>
        <v/>
      </c>
      <c r="JJ18" s="4" t="str">
        <f t="shared" si="54"/>
        <v/>
      </c>
      <c r="JK18" s="4" t="str">
        <f t="shared" si="55"/>
        <v/>
      </c>
      <c r="JL18" s="4" t="str">
        <f t="shared" si="56"/>
        <v/>
      </c>
      <c r="JM18" s="4" t="str">
        <f t="shared" si="57"/>
        <v/>
      </c>
      <c r="JN18" s="4" t="str">
        <f t="shared" si="58"/>
        <v/>
      </c>
      <c r="JO18" s="4" t="str">
        <f t="shared" si="59"/>
        <v/>
      </c>
      <c r="JP18" s="4" t="str">
        <f t="shared" si="60"/>
        <v/>
      </c>
      <c r="JQ18" s="4" t="str">
        <f t="shared" si="61"/>
        <v/>
      </c>
      <c r="JR18" s="4" t="str">
        <f t="shared" si="62"/>
        <v/>
      </c>
      <c r="JS18" s="4" t="str">
        <f t="shared" si="63"/>
        <v/>
      </c>
      <c r="JT18" s="4" t="str">
        <f t="shared" si="64"/>
        <v/>
      </c>
      <c r="JU18" s="4" t="str">
        <f t="shared" si="65"/>
        <v/>
      </c>
      <c r="JV18" s="4" t="str">
        <f t="shared" si="66"/>
        <v/>
      </c>
      <c r="JW18" s="4" t="str">
        <f t="shared" si="67"/>
        <v/>
      </c>
      <c r="JX18" s="4" t="str">
        <f t="shared" si="68"/>
        <v/>
      </c>
      <c r="JY18" s="4" t="str">
        <f t="shared" si="69"/>
        <v/>
      </c>
      <c r="JZ18" s="4" t="str">
        <f t="shared" si="70"/>
        <v/>
      </c>
      <c r="KA18" s="4" t="str">
        <f t="shared" si="71"/>
        <v/>
      </c>
      <c r="KB18" s="4" t="str">
        <f t="shared" si="72"/>
        <v/>
      </c>
      <c r="KC18" s="4" t="str">
        <f t="shared" si="73"/>
        <v/>
      </c>
      <c r="KD18" s="4" t="str">
        <f t="shared" si="74"/>
        <v/>
      </c>
      <c r="KE18" s="4" t="str">
        <f t="shared" si="75"/>
        <v/>
      </c>
      <c r="KF18" s="4" t="str">
        <f t="shared" si="76"/>
        <v/>
      </c>
      <c r="KG18" s="4" t="str">
        <f t="shared" si="77"/>
        <v/>
      </c>
      <c r="KH18" s="4" t="str">
        <f t="shared" si="78"/>
        <v/>
      </c>
      <c r="KI18" s="4" t="str">
        <f t="shared" si="79"/>
        <v/>
      </c>
      <c r="KJ18" s="4" t="str">
        <f t="shared" si="80"/>
        <v/>
      </c>
      <c r="KK18" s="4" t="str">
        <f t="shared" si="81"/>
        <v/>
      </c>
      <c r="KL18" s="4" t="str">
        <f t="shared" si="82"/>
        <v/>
      </c>
      <c r="KM18" s="4" t="str">
        <f t="shared" si="83"/>
        <v/>
      </c>
      <c r="KN18" s="4" t="str">
        <f t="shared" si="84"/>
        <v/>
      </c>
      <c r="KO18" s="4" t="str">
        <f t="shared" si="85"/>
        <v/>
      </c>
      <c r="KP18" s="4" t="str">
        <f t="shared" si="86"/>
        <v/>
      </c>
      <c r="KQ18" s="4" t="str">
        <f t="shared" si="87"/>
        <v/>
      </c>
      <c r="KR18" s="4" t="str">
        <f t="shared" si="88"/>
        <v/>
      </c>
      <c r="KS18" s="4" t="str">
        <f t="shared" si="89"/>
        <v/>
      </c>
      <c r="KT18" s="4" t="str">
        <f t="shared" si="90"/>
        <v/>
      </c>
      <c r="KU18" s="4" t="str">
        <f t="shared" si="91"/>
        <v/>
      </c>
      <c r="KV18" s="4" t="str">
        <f t="shared" si="92"/>
        <v/>
      </c>
      <c r="KW18" s="4" t="str">
        <f t="shared" si="93"/>
        <v/>
      </c>
      <c r="KX18" s="4" t="str">
        <f t="shared" si="94"/>
        <v/>
      </c>
      <c r="KY18" s="4" t="str">
        <f t="shared" si="95"/>
        <v/>
      </c>
      <c r="KZ18" s="4" t="str">
        <f t="shared" si="96"/>
        <v/>
      </c>
      <c r="LA18" s="4" t="str">
        <f t="shared" si="97"/>
        <v/>
      </c>
      <c r="LB18" s="4" t="str">
        <f t="shared" si="98"/>
        <v/>
      </c>
      <c r="LC18" s="4" t="str">
        <f t="shared" si="99"/>
        <v/>
      </c>
      <c r="LD18" s="4" t="str">
        <f t="shared" si="100"/>
        <v/>
      </c>
      <c r="LE18" s="4" t="str">
        <f t="shared" si="101"/>
        <v/>
      </c>
      <c r="LF18" s="4" t="str">
        <f t="shared" si="102"/>
        <v/>
      </c>
      <c r="LG18" s="4" t="str">
        <f t="shared" si="103"/>
        <v/>
      </c>
      <c r="LH18" s="4" t="str">
        <f t="shared" si="104"/>
        <v/>
      </c>
      <c r="LI18" s="4" t="str">
        <f t="shared" si="105"/>
        <v/>
      </c>
      <c r="LJ18" s="4" t="str">
        <f t="shared" si="106"/>
        <v/>
      </c>
      <c r="LK18" s="4" t="str">
        <f t="shared" si="107"/>
        <v/>
      </c>
      <c r="LL18" s="4" t="str">
        <f t="shared" si="108"/>
        <v/>
      </c>
      <c r="LM18" s="4" t="str">
        <f t="shared" si="109"/>
        <v/>
      </c>
      <c r="LN18" s="4" t="str">
        <f t="shared" si="110"/>
        <v/>
      </c>
      <c r="LO18" s="4" t="str">
        <f t="shared" si="111"/>
        <v/>
      </c>
      <c r="LP18" s="4" t="str">
        <f t="shared" si="112"/>
        <v/>
      </c>
      <c r="LQ18" s="4" t="str">
        <f t="shared" si="113"/>
        <v/>
      </c>
      <c r="LR18" s="4" t="str">
        <f t="shared" si="114"/>
        <v/>
      </c>
      <c r="LS18" s="4" t="str">
        <f t="shared" si="115"/>
        <v/>
      </c>
      <c r="LT18" s="4" t="str">
        <f t="shared" si="116"/>
        <v/>
      </c>
      <c r="LU18" s="4" t="str">
        <f t="shared" si="117"/>
        <v/>
      </c>
      <c r="LV18" s="4" t="str">
        <f t="shared" si="118"/>
        <v/>
      </c>
      <c r="LW18" s="4" t="str">
        <f t="shared" si="119"/>
        <v/>
      </c>
      <c r="LX18" s="4" t="str">
        <f t="shared" si="120"/>
        <v/>
      </c>
      <c r="LY18" s="4" t="str">
        <f t="shared" si="121"/>
        <v/>
      </c>
      <c r="LZ18" s="4" t="str">
        <f t="shared" si="122"/>
        <v/>
      </c>
      <c r="MA18" s="4" t="str">
        <f t="shared" si="123"/>
        <v/>
      </c>
      <c r="MB18" s="4" t="str">
        <f t="shared" si="124"/>
        <v/>
      </c>
      <c r="MC18" s="4" t="str">
        <f t="shared" si="125"/>
        <v/>
      </c>
      <c r="MD18" s="4" t="str">
        <f t="shared" si="126"/>
        <v/>
      </c>
      <c r="ME18" s="4" t="str">
        <f t="shared" si="127"/>
        <v/>
      </c>
      <c r="MF18" s="4" t="str">
        <f t="shared" si="128"/>
        <v/>
      </c>
      <c r="MG18" s="4" t="str">
        <f t="shared" si="129"/>
        <v/>
      </c>
      <c r="MH18" s="4" t="str">
        <f t="shared" si="130"/>
        <v/>
      </c>
      <c r="MI18" s="4" t="str">
        <f t="shared" si="131"/>
        <v/>
      </c>
      <c r="MJ18" s="4" t="str">
        <f t="shared" si="132"/>
        <v/>
      </c>
      <c r="MK18" s="4" t="str">
        <f t="shared" si="133"/>
        <v/>
      </c>
      <c r="ML18" s="4" t="str">
        <f t="shared" si="134"/>
        <v/>
      </c>
      <c r="MM18" s="4" t="str">
        <f t="shared" si="135"/>
        <v/>
      </c>
      <c r="MN18" s="4" t="str">
        <f t="shared" si="136"/>
        <v/>
      </c>
      <c r="MO18" s="4" t="str">
        <f t="shared" si="137"/>
        <v/>
      </c>
      <c r="MP18" s="4" t="str">
        <f t="shared" si="138"/>
        <v/>
      </c>
      <c r="MQ18" s="4" t="str">
        <f t="shared" si="139"/>
        <v/>
      </c>
      <c r="MR18" s="4" t="str">
        <f t="shared" si="140"/>
        <v/>
      </c>
      <c r="MS18" s="4" t="str">
        <f t="shared" si="141"/>
        <v/>
      </c>
      <c r="MT18" s="4" t="str">
        <f t="shared" si="142"/>
        <v/>
      </c>
      <c r="MU18" s="4" t="str">
        <f t="shared" si="143"/>
        <v/>
      </c>
      <c r="MV18" s="4" t="str">
        <f t="shared" si="144"/>
        <v/>
      </c>
      <c r="MW18" s="4" t="str">
        <f t="shared" si="145"/>
        <v/>
      </c>
      <c r="MX18" s="4" t="str">
        <f t="shared" si="146"/>
        <v/>
      </c>
      <c r="MY18" s="4" t="str">
        <f t="shared" si="147"/>
        <v/>
      </c>
      <c r="MZ18" s="4" t="str">
        <f t="shared" si="148"/>
        <v/>
      </c>
      <c r="NA18" s="4" t="str">
        <f t="shared" si="149"/>
        <v/>
      </c>
      <c r="NB18" s="4" t="str">
        <f t="shared" si="150"/>
        <v/>
      </c>
      <c r="NC18" s="4" t="str">
        <f t="shared" si="151"/>
        <v/>
      </c>
      <c r="ND18" s="4" t="str">
        <f t="shared" si="152"/>
        <v/>
      </c>
      <c r="NE18" s="4" t="str">
        <f t="shared" si="153"/>
        <v/>
      </c>
      <c r="NF18" s="4" t="str">
        <f t="shared" si="154"/>
        <v/>
      </c>
      <c r="NG18" s="4" t="str">
        <f t="shared" si="155"/>
        <v/>
      </c>
      <c r="NH18" s="4" t="str">
        <f t="shared" si="156"/>
        <v/>
      </c>
      <c r="NI18" s="4" t="str">
        <f t="shared" si="157"/>
        <v/>
      </c>
      <c r="NJ18" s="4" t="str">
        <f t="shared" si="158"/>
        <v/>
      </c>
      <c r="NK18" s="4" t="str">
        <f t="shared" si="159"/>
        <v/>
      </c>
      <c r="NL18" s="4" t="str">
        <f t="shared" si="160"/>
        <v/>
      </c>
      <c r="NM18" s="4" t="str">
        <f t="shared" si="161"/>
        <v/>
      </c>
      <c r="NN18" s="4" t="str">
        <f t="shared" si="162"/>
        <v/>
      </c>
      <c r="NO18" s="4" t="str">
        <f t="shared" si="163"/>
        <v/>
      </c>
      <c r="NP18" s="4" t="str">
        <f t="shared" si="164"/>
        <v/>
      </c>
      <c r="NQ18" s="4" t="str">
        <f t="shared" si="165"/>
        <v/>
      </c>
      <c r="NR18" s="4" t="str">
        <f t="shared" si="166"/>
        <v/>
      </c>
      <c r="NS18" s="4" t="str">
        <f t="shared" si="167"/>
        <v/>
      </c>
      <c r="NT18" s="4" t="str">
        <f t="shared" si="168"/>
        <v/>
      </c>
      <c r="NU18" s="4" t="str">
        <f t="shared" si="169"/>
        <v/>
      </c>
      <c r="NV18" s="4" t="str">
        <f t="shared" si="170"/>
        <v/>
      </c>
      <c r="NW18" s="4" t="str">
        <f t="shared" si="171"/>
        <v/>
      </c>
      <c r="NX18" s="4" t="str">
        <f t="shared" si="172"/>
        <v/>
      </c>
      <c r="NY18" s="4" t="str">
        <f t="shared" si="173"/>
        <v/>
      </c>
      <c r="NZ18" s="4" t="str">
        <f t="shared" si="174"/>
        <v/>
      </c>
      <c r="OA18" s="4" t="str">
        <f t="shared" si="175"/>
        <v/>
      </c>
      <c r="OB18" s="4" t="str">
        <f t="shared" si="176"/>
        <v/>
      </c>
      <c r="OC18" s="4" t="str">
        <f t="shared" si="177"/>
        <v/>
      </c>
      <c r="OD18" s="4" t="str">
        <f t="shared" si="178"/>
        <v/>
      </c>
      <c r="OE18" s="4" t="str">
        <f t="shared" si="179"/>
        <v/>
      </c>
      <c r="OF18" s="4" t="str">
        <f t="shared" si="180"/>
        <v/>
      </c>
      <c r="OG18" s="4" t="str">
        <f t="shared" si="181"/>
        <v/>
      </c>
      <c r="OH18" s="4" t="str">
        <f t="shared" si="182"/>
        <v/>
      </c>
      <c r="OI18" s="4" t="str">
        <f t="shared" si="183"/>
        <v/>
      </c>
      <c r="OJ18" s="4" t="str">
        <f t="shared" si="184"/>
        <v/>
      </c>
      <c r="OK18" s="4" t="str">
        <f t="shared" si="185"/>
        <v/>
      </c>
      <c r="OL18" s="4" t="str">
        <f t="shared" si="186"/>
        <v/>
      </c>
      <c r="OM18" s="4" t="str">
        <f t="shared" si="187"/>
        <v/>
      </c>
      <c r="ON18" s="4" t="str">
        <f t="shared" si="188"/>
        <v/>
      </c>
      <c r="OO18" s="4" t="str">
        <f t="shared" si="189"/>
        <v/>
      </c>
      <c r="OP18" s="4" t="str">
        <f t="shared" si="190"/>
        <v/>
      </c>
      <c r="OQ18" s="4" t="str">
        <f t="shared" si="191"/>
        <v/>
      </c>
      <c r="OR18" s="4" t="str">
        <f t="shared" si="192"/>
        <v/>
      </c>
      <c r="OS18" s="4" t="str">
        <f t="shared" si="193"/>
        <v/>
      </c>
      <c r="OT18" s="4" t="str">
        <f t="shared" si="194"/>
        <v/>
      </c>
      <c r="OU18" s="4" t="str">
        <f t="shared" si="195"/>
        <v/>
      </c>
      <c r="OV18" s="4" t="str">
        <f t="shared" si="196"/>
        <v/>
      </c>
      <c r="OW18" s="4" t="str">
        <f t="shared" si="197"/>
        <v/>
      </c>
      <c r="OX18" s="4" t="str">
        <f t="shared" si="198"/>
        <v/>
      </c>
      <c r="OY18" s="4" t="str">
        <f t="shared" si="199"/>
        <v/>
      </c>
      <c r="OZ18" s="4" t="str">
        <f t="shared" si="200"/>
        <v/>
      </c>
      <c r="PA18" s="4" t="str">
        <f t="shared" si="201"/>
        <v/>
      </c>
      <c r="PB18" s="4" t="str">
        <f t="shared" si="202"/>
        <v/>
      </c>
      <c r="PC18" s="4" t="str">
        <f t="shared" si="203"/>
        <v/>
      </c>
      <c r="PD18" s="4" t="str">
        <f t="shared" si="204"/>
        <v/>
      </c>
      <c r="PE18" s="4" t="str">
        <f t="shared" si="205"/>
        <v/>
      </c>
      <c r="PF18" s="4" t="str">
        <f t="shared" si="206"/>
        <v/>
      </c>
      <c r="PG18" s="4" t="str">
        <f t="shared" si="207"/>
        <v/>
      </c>
      <c r="PH18" s="4" t="str">
        <f t="shared" si="208"/>
        <v/>
      </c>
      <c r="PI18" s="4" t="str">
        <f t="shared" si="209"/>
        <v/>
      </c>
      <c r="PJ18" s="4" t="str">
        <f t="shared" si="210"/>
        <v/>
      </c>
      <c r="PK18" s="4" t="str">
        <f t="shared" si="211"/>
        <v/>
      </c>
      <c r="PL18" s="4" t="str">
        <f t="shared" si="212"/>
        <v/>
      </c>
      <c r="PM18" s="4" t="str">
        <f t="shared" si="213"/>
        <v/>
      </c>
      <c r="PN18" s="4" t="str">
        <f t="shared" si="214"/>
        <v/>
      </c>
      <c r="PO18" s="4" t="str">
        <f t="shared" si="215"/>
        <v/>
      </c>
      <c r="PP18" s="4" t="str">
        <f t="shared" si="216"/>
        <v/>
      </c>
      <c r="PQ18" s="4" t="str">
        <f t="shared" si="217"/>
        <v/>
      </c>
      <c r="PR18" s="4" t="str">
        <f t="shared" si="218"/>
        <v/>
      </c>
      <c r="PS18" s="4" t="str">
        <f t="shared" si="219"/>
        <v/>
      </c>
    </row>
    <row r="19">
      <c r="HI19" s="4" t="str">
        <f t="shared" si="2"/>
        <v/>
      </c>
      <c r="HJ19" s="4" t="str">
        <f t="shared" si="3"/>
        <v/>
      </c>
      <c r="HK19" s="4" t="str">
        <f t="shared" si="4"/>
        <v/>
      </c>
      <c r="HL19" s="4" t="str">
        <f t="shared" si="5"/>
        <v/>
      </c>
      <c r="HM19" s="4" t="str">
        <f t="shared" si="6"/>
        <v/>
      </c>
      <c r="HN19" s="4" t="str">
        <f t="shared" si="7"/>
        <v/>
      </c>
      <c r="HO19" s="4" t="str">
        <f t="shared" si="8"/>
        <v/>
      </c>
      <c r="HP19" s="4" t="str">
        <f t="shared" si="9"/>
        <v/>
      </c>
      <c r="HQ19" s="4" t="str">
        <f t="shared" si="10"/>
        <v/>
      </c>
      <c r="HR19" s="4" t="str">
        <f t="shared" si="11"/>
        <v/>
      </c>
      <c r="HS19" s="4" t="str">
        <f t="shared" si="12"/>
        <v/>
      </c>
      <c r="HT19" s="4" t="str">
        <f t="shared" si="13"/>
        <v/>
      </c>
      <c r="HU19" s="4" t="str">
        <f t="shared" si="14"/>
        <v/>
      </c>
      <c r="HV19" s="4" t="str">
        <f t="shared" si="15"/>
        <v/>
      </c>
      <c r="HW19" s="4" t="str">
        <f t="shared" si="16"/>
        <v/>
      </c>
      <c r="HX19" s="4" t="str">
        <f t="shared" si="17"/>
        <v/>
      </c>
      <c r="HY19" s="4" t="str">
        <f t="shared" si="18"/>
        <v/>
      </c>
      <c r="HZ19" s="4" t="str">
        <f t="shared" si="19"/>
        <v/>
      </c>
      <c r="IA19" s="4" t="str">
        <f t="shared" si="20"/>
        <v/>
      </c>
      <c r="IB19" s="4" t="str">
        <f t="shared" si="21"/>
        <v/>
      </c>
      <c r="IC19" s="4" t="str">
        <f t="shared" si="22"/>
        <v/>
      </c>
      <c r="ID19" s="4" t="str">
        <f t="shared" si="23"/>
        <v/>
      </c>
      <c r="IE19" s="4" t="str">
        <f t="shared" si="24"/>
        <v/>
      </c>
      <c r="IF19" s="4" t="str">
        <f t="shared" si="25"/>
        <v/>
      </c>
      <c r="IG19" s="4" t="str">
        <f t="shared" si="26"/>
        <v/>
      </c>
      <c r="IH19" s="4" t="str">
        <f t="shared" si="27"/>
        <v/>
      </c>
      <c r="II19" s="4" t="str">
        <f t="shared" si="28"/>
        <v/>
      </c>
      <c r="IJ19" s="4" t="str">
        <f t="shared" si="29"/>
        <v/>
      </c>
      <c r="IK19" s="4" t="str">
        <f t="shared" si="30"/>
        <v/>
      </c>
      <c r="IL19" s="4" t="str">
        <f t="shared" si="31"/>
        <v/>
      </c>
      <c r="IM19" s="4" t="str">
        <f t="shared" si="32"/>
        <v/>
      </c>
      <c r="IN19" s="4" t="str">
        <f t="shared" si="33"/>
        <v/>
      </c>
      <c r="IO19" s="4" t="str">
        <f t="shared" si="34"/>
        <v/>
      </c>
      <c r="IP19" s="4" t="str">
        <f t="shared" si="35"/>
        <v/>
      </c>
      <c r="IQ19" s="4" t="str">
        <f t="shared" si="36"/>
        <v/>
      </c>
      <c r="IR19" s="4" t="str">
        <f t="shared" si="37"/>
        <v/>
      </c>
      <c r="IS19" s="4" t="str">
        <f t="shared" si="38"/>
        <v/>
      </c>
      <c r="IT19" s="4" t="str">
        <f t="shared" si="39"/>
        <v/>
      </c>
      <c r="IU19" s="4" t="str">
        <f t="shared" si="40"/>
        <v/>
      </c>
      <c r="IV19" s="4" t="str">
        <f t="shared" si="41"/>
        <v/>
      </c>
      <c r="IW19" s="4" t="str">
        <f t="shared" si="42"/>
        <v/>
      </c>
      <c r="IX19" s="4" t="str">
        <f t="shared" si="43"/>
        <v/>
      </c>
      <c r="IY19" s="4" t="str">
        <f t="shared" si="44"/>
        <v/>
      </c>
      <c r="IZ19" s="4" t="str">
        <f t="shared" si="45"/>
        <v/>
      </c>
      <c r="JA19" s="4" t="str">
        <f t="shared" ref="JA19:JB19" si="235">if(ISERROR(SEARCH("Higher Education",BB19)),"","810")</f>
        <v/>
      </c>
      <c r="JB19" s="4" t="str">
        <f t="shared" si="235"/>
        <v/>
      </c>
      <c r="JC19" s="4" t="str">
        <f t="shared" si="47"/>
        <v/>
      </c>
      <c r="JD19" s="4" t="str">
        <f t="shared" si="48"/>
        <v/>
      </c>
      <c r="JE19" s="4" t="str">
        <f t="shared" si="49"/>
        <v/>
      </c>
      <c r="JF19" s="4" t="str">
        <f t="shared" si="50"/>
        <v/>
      </c>
      <c r="JG19" s="4" t="str">
        <f t="shared" si="51"/>
        <v/>
      </c>
      <c r="JH19" s="4" t="str">
        <f t="shared" si="52"/>
        <v/>
      </c>
      <c r="JI19" s="4" t="str">
        <f t="shared" si="53"/>
        <v/>
      </c>
      <c r="JJ19" s="4" t="str">
        <f t="shared" si="54"/>
        <v/>
      </c>
      <c r="JK19" s="4" t="str">
        <f t="shared" si="55"/>
        <v/>
      </c>
      <c r="JL19" s="4" t="str">
        <f t="shared" si="56"/>
        <v/>
      </c>
      <c r="JM19" s="4" t="str">
        <f t="shared" si="57"/>
        <v/>
      </c>
      <c r="JN19" s="4" t="str">
        <f t="shared" si="58"/>
        <v/>
      </c>
      <c r="JO19" s="4" t="str">
        <f t="shared" si="59"/>
        <v/>
      </c>
      <c r="JP19" s="4" t="str">
        <f t="shared" si="60"/>
        <v/>
      </c>
      <c r="JQ19" s="4" t="str">
        <f t="shared" si="61"/>
        <v/>
      </c>
      <c r="JR19" s="4" t="str">
        <f t="shared" si="62"/>
        <v/>
      </c>
      <c r="JS19" s="4" t="str">
        <f t="shared" si="63"/>
        <v/>
      </c>
      <c r="JT19" s="4" t="str">
        <f t="shared" si="64"/>
        <v/>
      </c>
      <c r="JU19" s="4" t="str">
        <f t="shared" si="65"/>
        <v/>
      </c>
      <c r="JV19" s="4" t="str">
        <f t="shared" si="66"/>
        <v/>
      </c>
      <c r="JW19" s="4" t="str">
        <f t="shared" si="67"/>
        <v/>
      </c>
      <c r="JX19" s="4" t="str">
        <f t="shared" si="68"/>
        <v/>
      </c>
      <c r="JY19" s="4" t="str">
        <f t="shared" si="69"/>
        <v/>
      </c>
      <c r="JZ19" s="4" t="str">
        <f t="shared" si="70"/>
        <v/>
      </c>
      <c r="KA19" s="4" t="str">
        <f t="shared" si="71"/>
        <v/>
      </c>
      <c r="KB19" s="4" t="str">
        <f t="shared" si="72"/>
        <v/>
      </c>
      <c r="KC19" s="4" t="str">
        <f t="shared" si="73"/>
        <v/>
      </c>
      <c r="KD19" s="4" t="str">
        <f t="shared" si="74"/>
        <v/>
      </c>
      <c r="KE19" s="4" t="str">
        <f t="shared" si="75"/>
        <v/>
      </c>
      <c r="KF19" s="4" t="str">
        <f t="shared" si="76"/>
        <v/>
      </c>
      <c r="KG19" s="4" t="str">
        <f t="shared" si="77"/>
        <v/>
      </c>
      <c r="KH19" s="4" t="str">
        <f t="shared" si="78"/>
        <v/>
      </c>
      <c r="KI19" s="4" t="str">
        <f t="shared" si="79"/>
        <v/>
      </c>
      <c r="KJ19" s="4" t="str">
        <f t="shared" si="80"/>
        <v/>
      </c>
      <c r="KK19" s="4" t="str">
        <f t="shared" si="81"/>
        <v/>
      </c>
      <c r="KL19" s="4" t="str">
        <f t="shared" si="82"/>
        <v/>
      </c>
      <c r="KM19" s="4" t="str">
        <f t="shared" si="83"/>
        <v/>
      </c>
      <c r="KN19" s="4" t="str">
        <f t="shared" si="84"/>
        <v/>
      </c>
      <c r="KO19" s="4" t="str">
        <f t="shared" si="85"/>
        <v/>
      </c>
      <c r="KP19" s="4" t="str">
        <f t="shared" si="86"/>
        <v/>
      </c>
      <c r="KQ19" s="4" t="str">
        <f t="shared" si="87"/>
        <v/>
      </c>
      <c r="KR19" s="4" t="str">
        <f t="shared" si="88"/>
        <v/>
      </c>
      <c r="KS19" s="4" t="str">
        <f t="shared" si="89"/>
        <v/>
      </c>
      <c r="KT19" s="4" t="str">
        <f t="shared" si="90"/>
        <v/>
      </c>
      <c r="KU19" s="4" t="str">
        <f t="shared" si="91"/>
        <v/>
      </c>
      <c r="KV19" s="4" t="str">
        <f t="shared" si="92"/>
        <v/>
      </c>
      <c r="KW19" s="4" t="str">
        <f t="shared" si="93"/>
        <v/>
      </c>
      <c r="KX19" s="4" t="str">
        <f t="shared" si="94"/>
        <v/>
      </c>
      <c r="KY19" s="4" t="str">
        <f t="shared" si="95"/>
        <v/>
      </c>
      <c r="KZ19" s="4" t="str">
        <f t="shared" si="96"/>
        <v/>
      </c>
      <c r="LA19" s="4" t="str">
        <f t="shared" si="97"/>
        <v/>
      </c>
      <c r="LB19" s="4" t="str">
        <f t="shared" si="98"/>
        <v/>
      </c>
      <c r="LC19" s="4" t="str">
        <f t="shared" si="99"/>
        <v/>
      </c>
      <c r="LD19" s="4" t="str">
        <f t="shared" si="100"/>
        <v/>
      </c>
      <c r="LE19" s="4" t="str">
        <f t="shared" si="101"/>
        <v/>
      </c>
      <c r="LF19" s="4" t="str">
        <f t="shared" si="102"/>
        <v/>
      </c>
      <c r="LG19" s="4" t="str">
        <f t="shared" si="103"/>
        <v/>
      </c>
      <c r="LH19" s="4" t="str">
        <f t="shared" si="104"/>
        <v/>
      </c>
      <c r="LI19" s="4" t="str">
        <f t="shared" si="105"/>
        <v/>
      </c>
      <c r="LJ19" s="4" t="str">
        <f t="shared" si="106"/>
        <v/>
      </c>
      <c r="LK19" s="4" t="str">
        <f t="shared" si="107"/>
        <v/>
      </c>
      <c r="LL19" s="4" t="str">
        <f t="shared" si="108"/>
        <v/>
      </c>
      <c r="LM19" s="4" t="str">
        <f t="shared" si="109"/>
        <v/>
      </c>
      <c r="LN19" s="4" t="str">
        <f t="shared" si="110"/>
        <v/>
      </c>
      <c r="LO19" s="4" t="str">
        <f t="shared" si="111"/>
        <v/>
      </c>
      <c r="LP19" s="4" t="str">
        <f t="shared" si="112"/>
        <v/>
      </c>
      <c r="LQ19" s="4" t="str">
        <f t="shared" si="113"/>
        <v/>
      </c>
      <c r="LR19" s="4" t="str">
        <f t="shared" si="114"/>
        <v/>
      </c>
      <c r="LS19" s="4" t="str">
        <f t="shared" si="115"/>
        <v/>
      </c>
      <c r="LT19" s="4" t="str">
        <f t="shared" si="116"/>
        <v/>
      </c>
      <c r="LU19" s="4" t="str">
        <f t="shared" si="117"/>
        <v/>
      </c>
      <c r="LV19" s="4" t="str">
        <f t="shared" si="118"/>
        <v/>
      </c>
      <c r="LW19" s="4" t="str">
        <f t="shared" si="119"/>
        <v/>
      </c>
      <c r="LX19" s="4" t="str">
        <f t="shared" si="120"/>
        <v/>
      </c>
      <c r="LY19" s="4" t="str">
        <f t="shared" si="121"/>
        <v/>
      </c>
      <c r="LZ19" s="4" t="str">
        <f t="shared" si="122"/>
        <v/>
      </c>
      <c r="MA19" s="4" t="str">
        <f t="shared" si="123"/>
        <v/>
      </c>
      <c r="MB19" s="4" t="str">
        <f t="shared" si="124"/>
        <v/>
      </c>
      <c r="MC19" s="4" t="str">
        <f t="shared" si="125"/>
        <v/>
      </c>
      <c r="MD19" s="4" t="str">
        <f t="shared" si="126"/>
        <v/>
      </c>
      <c r="ME19" s="4" t="str">
        <f t="shared" si="127"/>
        <v/>
      </c>
      <c r="MF19" s="4" t="str">
        <f t="shared" si="128"/>
        <v/>
      </c>
      <c r="MG19" s="4" t="str">
        <f t="shared" si="129"/>
        <v/>
      </c>
      <c r="MH19" s="4" t="str">
        <f t="shared" si="130"/>
        <v/>
      </c>
      <c r="MI19" s="4" t="str">
        <f t="shared" si="131"/>
        <v/>
      </c>
      <c r="MJ19" s="4" t="str">
        <f t="shared" si="132"/>
        <v/>
      </c>
      <c r="MK19" s="4" t="str">
        <f t="shared" si="133"/>
        <v/>
      </c>
      <c r="ML19" s="4" t="str">
        <f t="shared" si="134"/>
        <v/>
      </c>
      <c r="MM19" s="4" t="str">
        <f t="shared" si="135"/>
        <v/>
      </c>
      <c r="MN19" s="4" t="str">
        <f t="shared" si="136"/>
        <v/>
      </c>
      <c r="MO19" s="4" t="str">
        <f t="shared" si="137"/>
        <v/>
      </c>
      <c r="MP19" s="4" t="str">
        <f t="shared" si="138"/>
        <v/>
      </c>
      <c r="MQ19" s="4" t="str">
        <f t="shared" si="139"/>
        <v/>
      </c>
      <c r="MR19" s="4" t="str">
        <f t="shared" si="140"/>
        <v/>
      </c>
      <c r="MS19" s="4" t="str">
        <f t="shared" si="141"/>
        <v/>
      </c>
      <c r="MT19" s="4" t="str">
        <f t="shared" si="142"/>
        <v/>
      </c>
      <c r="MU19" s="4" t="str">
        <f t="shared" si="143"/>
        <v/>
      </c>
      <c r="MV19" s="4" t="str">
        <f t="shared" si="144"/>
        <v/>
      </c>
      <c r="MW19" s="4" t="str">
        <f t="shared" si="145"/>
        <v/>
      </c>
      <c r="MX19" s="4" t="str">
        <f t="shared" si="146"/>
        <v/>
      </c>
      <c r="MY19" s="4" t="str">
        <f t="shared" si="147"/>
        <v/>
      </c>
      <c r="MZ19" s="4" t="str">
        <f t="shared" si="148"/>
        <v/>
      </c>
      <c r="NA19" s="4" t="str">
        <f t="shared" si="149"/>
        <v/>
      </c>
      <c r="NB19" s="4" t="str">
        <f t="shared" si="150"/>
        <v/>
      </c>
      <c r="NC19" s="4" t="str">
        <f t="shared" si="151"/>
        <v/>
      </c>
      <c r="ND19" s="4" t="str">
        <f t="shared" si="152"/>
        <v/>
      </c>
      <c r="NE19" s="4" t="str">
        <f t="shared" si="153"/>
        <v/>
      </c>
      <c r="NF19" s="4" t="str">
        <f t="shared" si="154"/>
        <v/>
      </c>
      <c r="NG19" s="4" t="str">
        <f t="shared" si="155"/>
        <v/>
      </c>
      <c r="NH19" s="4" t="str">
        <f t="shared" si="156"/>
        <v/>
      </c>
      <c r="NI19" s="4" t="str">
        <f t="shared" si="157"/>
        <v/>
      </c>
      <c r="NJ19" s="4" t="str">
        <f t="shared" si="158"/>
        <v/>
      </c>
      <c r="NK19" s="4" t="str">
        <f t="shared" si="159"/>
        <v/>
      </c>
      <c r="NL19" s="4" t="str">
        <f t="shared" si="160"/>
        <v/>
      </c>
      <c r="NM19" s="4" t="str">
        <f t="shared" si="161"/>
        <v/>
      </c>
      <c r="NN19" s="4" t="str">
        <f t="shared" si="162"/>
        <v/>
      </c>
      <c r="NO19" s="4" t="str">
        <f t="shared" si="163"/>
        <v/>
      </c>
      <c r="NP19" s="4" t="str">
        <f t="shared" si="164"/>
        <v/>
      </c>
      <c r="NQ19" s="4" t="str">
        <f t="shared" si="165"/>
        <v/>
      </c>
      <c r="NR19" s="4" t="str">
        <f t="shared" si="166"/>
        <v/>
      </c>
      <c r="NS19" s="4" t="str">
        <f t="shared" si="167"/>
        <v/>
      </c>
      <c r="NT19" s="4" t="str">
        <f t="shared" si="168"/>
        <v/>
      </c>
      <c r="NU19" s="4" t="str">
        <f t="shared" si="169"/>
        <v/>
      </c>
      <c r="NV19" s="4" t="str">
        <f t="shared" si="170"/>
        <v/>
      </c>
      <c r="NW19" s="4" t="str">
        <f t="shared" si="171"/>
        <v/>
      </c>
      <c r="NX19" s="4" t="str">
        <f t="shared" si="172"/>
        <v/>
      </c>
      <c r="NY19" s="4" t="str">
        <f t="shared" si="173"/>
        <v/>
      </c>
      <c r="NZ19" s="4" t="str">
        <f t="shared" si="174"/>
        <v/>
      </c>
      <c r="OA19" s="4" t="str">
        <f t="shared" si="175"/>
        <v/>
      </c>
      <c r="OB19" s="4" t="str">
        <f t="shared" si="176"/>
        <v/>
      </c>
      <c r="OC19" s="4" t="str">
        <f t="shared" si="177"/>
        <v/>
      </c>
      <c r="OD19" s="4" t="str">
        <f t="shared" si="178"/>
        <v/>
      </c>
      <c r="OE19" s="4" t="str">
        <f t="shared" si="179"/>
        <v/>
      </c>
      <c r="OF19" s="4" t="str">
        <f t="shared" si="180"/>
        <v/>
      </c>
      <c r="OG19" s="4" t="str">
        <f t="shared" si="181"/>
        <v/>
      </c>
      <c r="OH19" s="4" t="str">
        <f t="shared" si="182"/>
        <v/>
      </c>
      <c r="OI19" s="4" t="str">
        <f t="shared" si="183"/>
        <v/>
      </c>
      <c r="OJ19" s="4" t="str">
        <f t="shared" si="184"/>
        <v/>
      </c>
      <c r="OK19" s="4" t="str">
        <f t="shared" si="185"/>
        <v/>
      </c>
      <c r="OL19" s="4" t="str">
        <f t="shared" si="186"/>
        <v/>
      </c>
      <c r="OM19" s="4" t="str">
        <f t="shared" si="187"/>
        <v/>
      </c>
      <c r="ON19" s="4" t="str">
        <f t="shared" si="188"/>
        <v/>
      </c>
      <c r="OO19" s="4" t="str">
        <f t="shared" si="189"/>
        <v/>
      </c>
      <c r="OP19" s="4" t="str">
        <f t="shared" si="190"/>
        <v/>
      </c>
      <c r="OQ19" s="4" t="str">
        <f t="shared" si="191"/>
        <v/>
      </c>
      <c r="OR19" s="4" t="str">
        <f t="shared" si="192"/>
        <v/>
      </c>
      <c r="OS19" s="4" t="str">
        <f t="shared" si="193"/>
        <v/>
      </c>
      <c r="OT19" s="4" t="str">
        <f t="shared" si="194"/>
        <v/>
      </c>
      <c r="OU19" s="4" t="str">
        <f t="shared" si="195"/>
        <v/>
      </c>
      <c r="OV19" s="4" t="str">
        <f t="shared" si="196"/>
        <v/>
      </c>
      <c r="OW19" s="4" t="str">
        <f t="shared" si="197"/>
        <v/>
      </c>
      <c r="OX19" s="4" t="str">
        <f t="shared" si="198"/>
        <v/>
      </c>
      <c r="OY19" s="4" t="str">
        <f t="shared" si="199"/>
        <v/>
      </c>
      <c r="OZ19" s="4" t="str">
        <f t="shared" si="200"/>
        <v/>
      </c>
      <c r="PA19" s="4" t="str">
        <f t="shared" si="201"/>
        <v/>
      </c>
      <c r="PB19" s="4" t="str">
        <f t="shared" si="202"/>
        <v/>
      </c>
      <c r="PC19" s="4" t="str">
        <f t="shared" si="203"/>
        <v/>
      </c>
      <c r="PD19" s="4" t="str">
        <f t="shared" si="204"/>
        <v/>
      </c>
      <c r="PE19" s="4" t="str">
        <f t="shared" si="205"/>
        <v/>
      </c>
      <c r="PF19" s="4" t="str">
        <f t="shared" si="206"/>
        <v/>
      </c>
      <c r="PG19" s="4" t="str">
        <f t="shared" si="207"/>
        <v/>
      </c>
      <c r="PH19" s="4" t="str">
        <f t="shared" si="208"/>
        <v/>
      </c>
      <c r="PI19" s="4" t="str">
        <f t="shared" si="209"/>
        <v/>
      </c>
      <c r="PJ19" s="4" t="str">
        <f t="shared" si="210"/>
        <v/>
      </c>
      <c r="PK19" s="4" t="str">
        <f t="shared" si="211"/>
        <v/>
      </c>
      <c r="PL19" s="4" t="str">
        <f t="shared" si="212"/>
        <v/>
      </c>
      <c r="PM19" s="4" t="str">
        <f t="shared" si="213"/>
        <v/>
      </c>
      <c r="PN19" s="4" t="str">
        <f t="shared" si="214"/>
        <v/>
      </c>
      <c r="PO19" s="4" t="str">
        <f t="shared" si="215"/>
        <v/>
      </c>
      <c r="PP19" s="4" t="str">
        <f t="shared" si="216"/>
        <v/>
      </c>
      <c r="PQ19" s="4" t="str">
        <f t="shared" si="217"/>
        <v/>
      </c>
      <c r="PR19" s="4" t="str">
        <f t="shared" si="218"/>
        <v/>
      </c>
      <c r="PS19" s="4" t="str">
        <f t="shared" si="219"/>
        <v/>
      </c>
    </row>
    <row r="20">
      <c r="HI20" s="4" t="str">
        <f t="shared" si="2"/>
        <v/>
      </c>
      <c r="HJ20" s="4" t="str">
        <f t="shared" si="3"/>
        <v/>
      </c>
      <c r="HK20" s="4" t="str">
        <f t="shared" si="4"/>
        <v/>
      </c>
      <c r="HL20" s="4" t="str">
        <f t="shared" si="5"/>
        <v/>
      </c>
      <c r="HM20" s="4" t="str">
        <f t="shared" si="6"/>
        <v/>
      </c>
      <c r="HN20" s="4" t="str">
        <f t="shared" si="7"/>
        <v/>
      </c>
      <c r="HO20" s="4" t="str">
        <f t="shared" si="8"/>
        <v/>
      </c>
      <c r="HP20" s="4" t="str">
        <f t="shared" si="9"/>
        <v/>
      </c>
      <c r="HQ20" s="4" t="str">
        <f t="shared" si="10"/>
        <v/>
      </c>
      <c r="HR20" s="4" t="str">
        <f t="shared" si="11"/>
        <v/>
      </c>
      <c r="HS20" s="4" t="str">
        <f t="shared" si="12"/>
        <v/>
      </c>
      <c r="HT20" s="4" t="str">
        <f t="shared" si="13"/>
        <v/>
      </c>
      <c r="HU20" s="4" t="str">
        <f t="shared" si="14"/>
        <v/>
      </c>
      <c r="HV20" s="4" t="str">
        <f t="shared" si="15"/>
        <v/>
      </c>
      <c r="HW20" s="4" t="str">
        <f t="shared" si="16"/>
        <v/>
      </c>
      <c r="HX20" s="4" t="str">
        <f t="shared" si="17"/>
        <v/>
      </c>
      <c r="HY20" s="4" t="str">
        <f t="shared" si="18"/>
        <v/>
      </c>
      <c r="HZ20" s="4" t="str">
        <f t="shared" si="19"/>
        <v/>
      </c>
      <c r="IA20" s="4" t="str">
        <f t="shared" si="20"/>
        <v/>
      </c>
      <c r="IB20" s="4" t="str">
        <f t="shared" si="21"/>
        <v/>
      </c>
      <c r="IC20" s="4" t="str">
        <f t="shared" si="22"/>
        <v/>
      </c>
      <c r="ID20" s="4" t="str">
        <f t="shared" si="23"/>
        <v/>
      </c>
      <c r="IE20" s="4" t="str">
        <f t="shared" si="24"/>
        <v/>
      </c>
      <c r="IF20" s="4" t="str">
        <f t="shared" si="25"/>
        <v/>
      </c>
      <c r="IG20" s="4" t="str">
        <f t="shared" si="26"/>
        <v/>
      </c>
      <c r="IH20" s="4" t="str">
        <f t="shared" si="27"/>
        <v/>
      </c>
      <c r="II20" s="4" t="str">
        <f t="shared" si="28"/>
        <v/>
      </c>
      <c r="IJ20" s="4" t="str">
        <f t="shared" si="29"/>
        <v/>
      </c>
      <c r="IK20" s="4" t="str">
        <f t="shared" si="30"/>
        <v/>
      </c>
      <c r="IL20" s="4" t="str">
        <f t="shared" si="31"/>
        <v/>
      </c>
      <c r="IM20" s="4" t="str">
        <f t="shared" si="32"/>
        <v/>
      </c>
      <c r="IN20" s="4" t="str">
        <f t="shared" si="33"/>
        <v/>
      </c>
      <c r="IO20" s="4" t="str">
        <f t="shared" si="34"/>
        <v/>
      </c>
      <c r="IP20" s="4" t="str">
        <f t="shared" si="35"/>
        <v/>
      </c>
      <c r="IQ20" s="4" t="str">
        <f t="shared" si="36"/>
        <v/>
      </c>
      <c r="IR20" s="4" t="str">
        <f t="shared" si="37"/>
        <v/>
      </c>
      <c r="IS20" s="4" t="str">
        <f t="shared" si="38"/>
        <v/>
      </c>
      <c r="IT20" s="4" t="str">
        <f t="shared" si="39"/>
        <v/>
      </c>
      <c r="IU20" s="4" t="str">
        <f t="shared" si="40"/>
        <v/>
      </c>
      <c r="IV20" s="4" t="str">
        <f t="shared" si="41"/>
        <v/>
      </c>
      <c r="IW20" s="4" t="str">
        <f t="shared" si="42"/>
        <v/>
      </c>
      <c r="IX20" s="4" t="str">
        <f t="shared" si="43"/>
        <v/>
      </c>
      <c r="IY20" s="4" t="str">
        <f t="shared" si="44"/>
        <v/>
      </c>
      <c r="IZ20" s="4" t="str">
        <f t="shared" si="45"/>
        <v/>
      </c>
      <c r="JA20" s="4" t="str">
        <f t="shared" ref="JA20:JB20" si="236">if(ISERROR(SEARCH("Higher Education",BB20)),"","810")</f>
        <v/>
      </c>
      <c r="JB20" s="4" t="str">
        <f t="shared" si="236"/>
        <v/>
      </c>
      <c r="JC20" s="4" t="str">
        <f t="shared" si="47"/>
        <v/>
      </c>
      <c r="JD20" s="4" t="str">
        <f t="shared" si="48"/>
        <v/>
      </c>
      <c r="JE20" s="4" t="str">
        <f t="shared" si="49"/>
        <v/>
      </c>
      <c r="JF20" s="4" t="str">
        <f t="shared" si="50"/>
        <v/>
      </c>
      <c r="JG20" s="4" t="str">
        <f t="shared" si="51"/>
        <v/>
      </c>
      <c r="JH20" s="4" t="str">
        <f t="shared" si="52"/>
        <v/>
      </c>
      <c r="JI20" s="4" t="str">
        <f t="shared" si="53"/>
        <v/>
      </c>
      <c r="JJ20" s="4" t="str">
        <f t="shared" si="54"/>
        <v/>
      </c>
      <c r="JK20" s="4" t="str">
        <f t="shared" si="55"/>
        <v/>
      </c>
      <c r="JL20" s="4" t="str">
        <f t="shared" si="56"/>
        <v/>
      </c>
      <c r="JM20" s="4" t="str">
        <f t="shared" si="57"/>
        <v/>
      </c>
      <c r="JN20" s="4" t="str">
        <f t="shared" si="58"/>
        <v/>
      </c>
      <c r="JO20" s="4" t="str">
        <f t="shared" si="59"/>
        <v/>
      </c>
      <c r="JP20" s="4" t="str">
        <f t="shared" si="60"/>
        <v/>
      </c>
      <c r="JQ20" s="4" t="str">
        <f t="shared" si="61"/>
        <v/>
      </c>
      <c r="JR20" s="4" t="str">
        <f t="shared" si="62"/>
        <v/>
      </c>
      <c r="JS20" s="4" t="str">
        <f t="shared" si="63"/>
        <v/>
      </c>
      <c r="JT20" s="4" t="str">
        <f t="shared" si="64"/>
        <v/>
      </c>
      <c r="JU20" s="4" t="str">
        <f t="shared" si="65"/>
        <v/>
      </c>
      <c r="JV20" s="4" t="str">
        <f t="shared" si="66"/>
        <v/>
      </c>
      <c r="JW20" s="4" t="str">
        <f t="shared" si="67"/>
        <v/>
      </c>
      <c r="JX20" s="4" t="str">
        <f t="shared" si="68"/>
        <v/>
      </c>
      <c r="JY20" s="4" t="str">
        <f t="shared" si="69"/>
        <v/>
      </c>
      <c r="JZ20" s="4" t="str">
        <f t="shared" si="70"/>
        <v/>
      </c>
      <c r="KA20" s="4" t="str">
        <f t="shared" si="71"/>
        <v/>
      </c>
      <c r="KB20" s="4" t="str">
        <f t="shared" si="72"/>
        <v/>
      </c>
      <c r="KC20" s="4" t="str">
        <f t="shared" si="73"/>
        <v/>
      </c>
      <c r="KD20" s="4" t="str">
        <f t="shared" si="74"/>
        <v/>
      </c>
      <c r="KE20" s="4" t="str">
        <f t="shared" si="75"/>
        <v/>
      </c>
      <c r="KF20" s="4" t="str">
        <f t="shared" si="76"/>
        <v/>
      </c>
      <c r="KG20" s="4" t="str">
        <f t="shared" si="77"/>
        <v/>
      </c>
      <c r="KH20" s="4" t="str">
        <f t="shared" si="78"/>
        <v/>
      </c>
      <c r="KI20" s="4" t="str">
        <f t="shared" si="79"/>
        <v/>
      </c>
      <c r="KJ20" s="4" t="str">
        <f t="shared" si="80"/>
        <v/>
      </c>
      <c r="KK20" s="4" t="str">
        <f t="shared" si="81"/>
        <v/>
      </c>
      <c r="KL20" s="4" t="str">
        <f t="shared" si="82"/>
        <v/>
      </c>
      <c r="KM20" s="4" t="str">
        <f t="shared" si="83"/>
        <v/>
      </c>
      <c r="KN20" s="4" t="str">
        <f t="shared" si="84"/>
        <v/>
      </c>
      <c r="KO20" s="4" t="str">
        <f t="shared" si="85"/>
        <v/>
      </c>
      <c r="KP20" s="4" t="str">
        <f t="shared" si="86"/>
        <v/>
      </c>
      <c r="KQ20" s="4" t="str">
        <f t="shared" si="87"/>
        <v/>
      </c>
      <c r="KR20" s="4" t="str">
        <f t="shared" si="88"/>
        <v/>
      </c>
      <c r="KS20" s="4" t="str">
        <f t="shared" si="89"/>
        <v/>
      </c>
      <c r="KT20" s="4" t="str">
        <f t="shared" si="90"/>
        <v/>
      </c>
      <c r="KU20" s="4" t="str">
        <f t="shared" si="91"/>
        <v/>
      </c>
      <c r="KV20" s="4" t="str">
        <f t="shared" si="92"/>
        <v/>
      </c>
      <c r="KW20" s="4" t="str">
        <f t="shared" si="93"/>
        <v/>
      </c>
      <c r="KX20" s="4" t="str">
        <f t="shared" si="94"/>
        <v/>
      </c>
      <c r="KY20" s="4" t="str">
        <f t="shared" si="95"/>
        <v/>
      </c>
      <c r="KZ20" s="4" t="str">
        <f t="shared" si="96"/>
        <v/>
      </c>
      <c r="LA20" s="4" t="str">
        <f t="shared" si="97"/>
        <v/>
      </c>
      <c r="LB20" s="4" t="str">
        <f t="shared" si="98"/>
        <v/>
      </c>
      <c r="LC20" s="4" t="str">
        <f t="shared" si="99"/>
        <v/>
      </c>
      <c r="LD20" s="4" t="str">
        <f t="shared" si="100"/>
        <v/>
      </c>
      <c r="LE20" s="4" t="str">
        <f t="shared" si="101"/>
        <v/>
      </c>
      <c r="LF20" s="4" t="str">
        <f t="shared" si="102"/>
        <v/>
      </c>
      <c r="LG20" s="4" t="str">
        <f t="shared" si="103"/>
        <v/>
      </c>
      <c r="LH20" s="4" t="str">
        <f t="shared" si="104"/>
        <v/>
      </c>
      <c r="LI20" s="4" t="str">
        <f t="shared" si="105"/>
        <v/>
      </c>
      <c r="LJ20" s="4" t="str">
        <f t="shared" si="106"/>
        <v/>
      </c>
      <c r="LK20" s="4" t="str">
        <f t="shared" si="107"/>
        <v/>
      </c>
      <c r="LL20" s="4" t="str">
        <f t="shared" si="108"/>
        <v/>
      </c>
      <c r="LM20" s="4" t="str">
        <f t="shared" si="109"/>
        <v/>
      </c>
      <c r="LN20" s="4" t="str">
        <f t="shared" si="110"/>
        <v/>
      </c>
      <c r="LO20" s="4" t="str">
        <f t="shared" si="111"/>
        <v/>
      </c>
      <c r="LP20" s="4" t="str">
        <f t="shared" si="112"/>
        <v/>
      </c>
      <c r="LQ20" s="4" t="str">
        <f t="shared" si="113"/>
        <v/>
      </c>
      <c r="LR20" s="4" t="str">
        <f t="shared" si="114"/>
        <v/>
      </c>
      <c r="LS20" s="4" t="str">
        <f t="shared" si="115"/>
        <v/>
      </c>
      <c r="LT20" s="4" t="str">
        <f t="shared" si="116"/>
        <v/>
      </c>
      <c r="LU20" s="4" t="str">
        <f t="shared" si="117"/>
        <v/>
      </c>
      <c r="LV20" s="4" t="str">
        <f t="shared" si="118"/>
        <v/>
      </c>
      <c r="LW20" s="4" t="str">
        <f t="shared" si="119"/>
        <v/>
      </c>
      <c r="LX20" s="4" t="str">
        <f t="shared" si="120"/>
        <v/>
      </c>
      <c r="LY20" s="4" t="str">
        <f t="shared" si="121"/>
        <v/>
      </c>
      <c r="LZ20" s="4" t="str">
        <f t="shared" si="122"/>
        <v/>
      </c>
      <c r="MA20" s="4" t="str">
        <f t="shared" si="123"/>
        <v/>
      </c>
      <c r="MB20" s="4" t="str">
        <f t="shared" si="124"/>
        <v/>
      </c>
      <c r="MC20" s="4" t="str">
        <f t="shared" si="125"/>
        <v/>
      </c>
      <c r="MD20" s="4" t="str">
        <f t="shared" si="126"/>
        <v/>
      </c>
      <c r="ME20" s="4" t="str">
        <f t="shared" si="127"/>
        <v/>
      </c>
      <c r="MF20" s="4" t="str">
        <f t="shared" si="128"/>
        <v/>
      </c>
      <c r="MG20" s="4" t="str">
        <f t="shared" si="129"/>
        <v/>
      </c>
      <c r="MH20" s="4" t="str">
        <f t="shared" si="130"/>
        <v/>
      </c>
      <c r="MI20" s="4" t="str">
        <f t="shared" si="131"/>
        <v/>
      </c>
      <c r="MJ20" s="4" t="str">
        <f t="shared" si="132"/>
        <v/>
      </c>
      <c r="MK20" s="4" t="str">
        <f t="shared" si="133"/>
        <v/>
      </c>
      <c r="ML20" s="4" t="str">
        <f t="shared" si="134"/>
        <v/>
      </c>
      <c r="MM20" s="4" t="str">
        <f t="shared" si="135"/>
        <v/>
      </c>
      <c r="MN20" s="4" t="str">
        <f t="shared" si="136"/>
        <v/>
      </c>
      <c r="MO20" s="4" t="str">
        <f t="shared" si="137"/>
        <v/>
      </c>
      <c r="MP20" s="4" t="str">
        <f t="shared" si="138"/>
        <v/>
      </c>
      <c r="MQ20" s="4" t="str">
        <f t="shared" si="139"/>
        <v/>
      </c>
      <c r="MR20" s="4" t="str">
        <f t="shared" si="140"/>
        <v/>
      </c>
      <c r="MS20" s="4" t="str">
        <f t="shared" si="141"/>
        <v/>
      </c>
      <c r="MT20" s="4" t="str">
        <f t="shared" si="142"/>
        <v/>
      </c>
      <c r="MU20" s="4" t="str">
        <f t="shared" si="143"/>
        <v/>
      </c>
      <c r="MV20" s="4" t="str">
        <f t="shared" si="144"/>
        <v/>
      </c>
      <c r="MW20" s="4" t="str">
        <f t="shared" si="145"/>
        <v/>
      </c>
      <c r="MX20" s="4" t="str">
        <f t="shared" si="146"/>
        <v/>
      </c>
      <c r="MY20" s="4" t="str">
        <f t="shared" si="147"/>
        <v/>
      </c>
      <c r="MZ20" s="4" t="str">
        <f t="shared" si="148"/>
        <v/>
      </c>
      <c r="NA20" s="4" t="str">
        <f t="shared" si="149"/>
        <v/>
      </c>
      <c r="NB20" s="4" t="str">
        <f t="shared" si="150"/>
        <v/>
      </c>
      <c r="NC20" s="4" t="str">
        <f t="shared" si="151"/>
        <v/>
      </c>
      <c r="ND20" s="4" t="str">
        <f t="shared" si="152"/>
        <v/>
      </c>
      <c r="NE20" s="4" t="str">
        <f t="shared" si="153"/>
        <v/>
      </c>
      <c r="NF20" s="4" t="str">
        <f t="shared" si="154"/>
        <v/>
      </c>
      <c r="NG20" s="4" t="str">
        <f t="shared" si="155"/>
        <v/>
      </c>
      <c r="NH20" s="4" t="str">
        <f t="shared" si="156"/>
        <v/>
      </c>
      <c r="NI20" s="4" t="str">
        <f t="shared" si="157"/>
        <v/>
      </c>
      <c r="NJ20" s="4" t="str">
        <f t="shared" si="158"/>
        <v/>
      </c>
      <c r="NK20" s="4" t="str">
        <f t="shared" si="159"/>
        <v/>
      </c>
      <c r="NL20" s="4" t="str">
        <f t="shared" si="160"/>
        <v/>
      </c>
      <c r="NM20" s="4" t="str">
        <f t="shared" si="161"/>
        <v/>
      </c>
      <c r="NN20" s="4" t="str">
        <f t="shared" si="162"/>
        <v/>
      </c>
      <c r="NO20" s="4" t="str">
        <f t="shared" si="163"/>
        <v/>
      </c>
      <c r="NP20" s="4" t="str">
        <f t="shared" si="164"/>
        <v/>
      </c>
      <c r="NQ20" s="4" t="str">
        <f t="shared" si="165"/>
        <v/>
      </c>
      <c r="NR20" s="4" t="str">
        <f t="shared" si="166"/>
        <v/>
      </c>
      <c r="NS20" s="4" t="str">
        <f t="shared" si="167"/>
        <v/>
      </c>
      <c r="NT20" s="4" t="str">
        <f t="shared" si="168"/>
        <v/>
      </c>
      <c r="NU20" s="4" t="str">
        <f t="shared" si="169"/>
        <v/>
      </c>
      <c r="NV20" s="4" t="str">
        <f t="shared" si="170"/>
        <v/>
      </c>
      <c r="NW20" s="4" t="str">
        <f t="shared" si="171"/>
        <v/>
      </c>
      <c r="NX20" s="4" t="str">
        <f t="shared" si="172"/>
        <v/>
      </c>
      <c r="NY20" s="4" t="str">
        <f t="shared" si="173"/>
        <v/>
      </c>
      <c r="NZ20" s="4" t="str">
        <f t="shared" si="174"/>
        <v/>
      </c>
      <c r="OA20" s="4" t="str">
        <f t="shared" si="175"/>
        <v/>
      </c>
      <c r="OB20" s="4" t="str">
        <f t="shared" si="176"/>
        <v/>
      </c>
      <c r="OC20" s="4" t="str">
        <f t="shared" si="177"/>
        <v/>
      </c>
      <c r="OD20" s="4" t="str">
        <f t="shared" si="178"/>
        <v/>
      </c>
      <c r="OE20" s="4" t="str">
        <f t="shared" si="179"/>
        <v/>
      </c>
      <c r="OF20" s="4" t="str">
        <f t="shared" si="180"/>
        <v/>
      </c>
      <c r="OG20" s="4" t="str">
        <f t="shared" si="181"/>
        <v/>
      </c>
      <c r="OH20" s="4" t="str">
        <f t="shared" si="182"/>
        <v/>
      </c>
      <c r="OI20" s="4" t="str">
        <f t="shared" si="183"/>
        <v/>
      </c>
      <c r="OJ20" s="4" t="str">
        <f t="shared" si="184"/>
        <v/>
      </c>
      <c r="OK20" s="4" t="str">
        <f t="shared" si="185"/>
        <v/>
      </c>
      <c r="OL20" s="4" t="str">
        <f t="shared" si="186"/>
        <v/>
      </c>
      <c r="OM20" s="4" t="str">
        <f t="shared" si="187"/>
        <v/>
      </c>
      <c r="ON20" s="4" t="str">
        <f t="shared" si="188"/>
        <v/>
      </c>
      <c r="OO20" s="4" t="str">
        <f t="shared" si="189"/>
        <v/>
      </c>
      <c r="OP20" s="4" t="str">
        <f t="shared" si="190"/>
        <v/>
      </c>
      <c r="OQ20" s="4" t="str">
        <f t="shared" si="191"/>
        <v/>
      </c>
      <c r="OR20" s="4" t="str">
        <f t="shared" si="192"/>
        <v/>
      </c>
      <c r="OS20" s="4" t="str">
        <f t="shared" si="193"/>
        <v/>
      </c>
      <c r="OT20" s="4" t="str">
        <f t="shared" si="194"/>
        <v/>
      </c>
      <c r="OU20" s="4" t="str">
        <f t="shared" si="195"/>
        <v/>
      </c>
      <c r="OV20" s="4" t="str">
        <f t="shared" si="196"/>
        <v/>
      </c>
      <c r="OW20" s="4" t="str">
        <f t="shared" si="197"/>
        <v/>
      </c>
      <c r="OX20" s="4" t="str">
        <f t="shared" si="198"/>
        <v/>
      </c>
      <c r="OY20" s="4" t="str">
        <f t="shared" si="199"/>
        <v/>
      </c>
      <c r="OZ20" s="4" t="str">
        <f t="shared" si="200"/>
        <v/>
      </c>
      <c r="PA20" s="4" t="str">
        <f t="shared" si="201"/>
        <v/>
      </c>
      <c r="PB20" s="4" t="str">
        <f t="shared" si="202"/>
        <v/>
      </c>
      <c r="PC20" s="4" t="str">
        <f t="shared" si="203"/>
        <v/>
      </c>
      <c r="PD20" s="4" t="str">
        <f t="shared" si="204"/>
        <v/>
      </c>
      <c r="PE20" s="4" t="str">
        <f t="shared" si="205"/>
        <v/>
      </c>
      <c r="PF20" s="4" t="str">
        <f t="shared" si="206"/>
        <v/>
      </c>
      <c r="PG20" s="4" t="str">
        <f t="shared" si="207"/>
        <v/>
      </c>
      <c r="PH20" s="4" t="str">
        <f t="shared" si="208"/>
        <v/>
      </c>
      <c r="PI20" s="4" t="str">
        <f t="shared" si="209"/>
        <v/>
      </c>
      <c r="PJ20" s="4" t="str">
        <f t="shared" si="210"/>
        <v/>
      </c>
      <c r="PK20" s="4" t="str">
        <f t="shared" si="211"/>
        <v/>
      </c>
      <c r="PL20" s="4" t="str">
        <f t="shared" si="212"/>
        <v/>
      </c>
      <c r="PM20" s="4" t="str">
        <f t="shared" si="213"/>
        <v/>
      </c>
      <c r="PN20" s="4" t="str">
        <f t="shared" si="214"/>
        <v/>
      </c>
      <c r="PO20" s="4" t="str">
        <f t="shared" si="215"/>
        <v/>
      </c>
      <c r="PP20" s="4" t="str">
        <f t="shared" si="216"/>
        <v/>
      </c>
      <c r="PQ20" s="4" t="str">
        <f t="shared" si="217"/>
        <v/>
      </c>
      <c r="PR20" s="4" t="str">
        <f t="shared" si="218"/>
        <v/>
      </c>
      <c r="PS20" s="4" t="str">
        <f t="shared" si="219"/>
        <v/>
      </c>
    </row>
    <row r="21">
      <c r="HI21" s="4" t="str">
        <f t="shared" si="2"/>
        <v/>
      </c>
      <c r="HJ21" s="4" t="str">
        <f t="shared" si="3"/>
        <v/>
      </c>
      <c r="HK21" s="4" t="str">
        <f t="shared" si="4"/>
        <v/>
      </c>
      <c r="HL21" s="4" t="str">
        <f t="shared" si="5"/>
        <v/>
      </c>
      <c r="HM21" s="4" t="str">
        <f t="shared" si="6"/>
        <v/>
      </c>
      <c r="HN21" s="4" t="str">
        <f t="shared" si="7"/>
        <v/>
      </c>
      <c r="HO21" s="4" t="str">
        <f t="shared" si="8"/>
        <v/>
      </c>
      <c r="HP21" s="4" t="str">
        <f t="shared" si="9"/>
        <v/>
      </c>
      <c r="HQ21" s="4" t="str">
        <f t="shared" si="10"/>
        <v/>
      </c>
      <c r="HR21" s="4" t="str">
        <f t="shared" si="11"/>
        <v/>
      </c>
      <c r="HS21" s="4" t="str">
        <f t="shared" si="12"/>
        <v/>
      </c>
      <c r="HT21" s="4" t="str">
        <f t="shared" si="13"/>
        <v/>
      </c>
      <c r="HU21" s="4" t="str">
        <f t="shared" si="14"/>
        <v/>
      </c>
      <c r="HV21" s="4" t="str">
        <f t="shared" si="15"/>
        <v/>
      </c>
      <c r="HW21" s="4" t="str">
        <f t="shared" si="16"/>
        <v/>
      </c>
      <c r="HX21" s="4" t="str">
        <f t="shared" si="17"/>
        <v/>
      </c>
      <c r="HY21" s="4" t="str">
        <f t="shared" si="18"/>
        <v/>
      </c>
      <c r="HZ21" s="4" t="str">
        <f t="shared" si="19"/>
        <v/>
      </c>
      <c r="IA21" s="4" t="str">
        <f t="shared" si="20"/>
        <v/>
      </c>
      <c r="IB21" s="4" t="str">
        <f t="shared" si="21"/>
        <v/>
      </c>
      <c r="IC21" s="4" t="str">
        <f t="shared" si="22"/>
        <v/>
      </c>
      <c r="ID21" s="4" t="str">
        <f t="shared" si="23"/>
        <v/>
      </c>
      <c r="IE21" s="4" t="str">
        <f t="shared" si="24"/>
        <v/>
      </c>
      <c r="IF21" s="4" t="str">
        <f t="shared" si="25"/>
        <v/>
      </c>
      <c r="IG21" s="4" t="str">
        <f t="shared" si="26"/>
        <v/>
      </c>
      <c r="IH21" s="4" t="str">
        <f t="shared" si="27"/>
        <v/>
      </c>
      <c r="II21" s="4" t="str">
        <f t="shared" si="28"/>
        <v/>
      </c>
      <c r="IJ21" s="4" t="str">
        <f t="shared" si="29"/>
        <v/>
      </c>
      <c r="IK21" s="4" t="str">
        <f t="shared" si="30"/>
        <v/>
      </c>
      <c r="IL21" s="4" t="str">
        <f t="shared" si="31"/>
        <v/>
      </c>
      <c r="IM21" s="4" t="str">
        <f t="shared" si="32"/>
        <v/>
      </c>
      <c r="IN21" s="4" t="str">
        <f t="shared" si="33"/>
        <v/>
      </c>
      <c r="IO21" s="4" t="str">
        <f t="shared" si="34"/>
        <v/>
      </c>
      <c r="IP21" s="4" t="str">
        <f t="shared" si="35"/>
        <v/>
      </c>
      <c r="IQ21" s="4" t="str">
        <f t="shared" si="36"/>
        <v/>
      </c>
      <c r="IR21" s="4" t="str">
        <f t="shared" si="37"/>
        <v/>
      </c>
      <c r="IS21" s="4" t="str">
        <f t="shared" si="38"/>
        <v/>
      </c>
      <c r="IT21" s="4" t="str">
        <f t="shared" si="39"/>
        <v/>
      </c>
      <c r="IU21" s="4" t="str">
        <f t="shared" si="40"/>
        <v/>
      </c>
      <c r="IV21" s="4" t="str">
        <f t="shared" si="41"/>
        <v/>
      </c>
      <c r="IW21" s="4" t="str">
        <f t="shared" si="42"/>
        <v/>
      </c>
      <c r="IX21" s="4" t="str">
        <f t="shared" si="43"/>
        <v/>
      </c>
      <c r="IY21" s="4" t="str">
        <f t="shared" si="44"/>
        <v/>
      </c>
      <c r="IZ21" s="4" t="str">
        <f t="shared" si="45"/>
        <v/>
      </c>
      <c r="JA21" s="4" t="str">
        <f t="shared" ref="JA21:JB21" si="237">if(ISERROR(SEARCH("Higher Education",BB21)),"","810")</f>
        <v/>
      </c>
      <c r="JB21" s="4" t="str">
        <f t="shared" si="237"/>
        <v/>
      </c>
      <c r="JC21" s="4" t="str">
        <f t="shared" si="47"/>
        <v/>
      </c>
      <c r="JD21" s="4" t="str">
        <f t="shared" si="48"/>
        <v/>
      </c>
      <c r="JE21" s="4" t="str">
        <f t="shared" si="49"/>
        <v/>
      </c>
      <c r="JF21" s="4" t="str">
        <f t="shared" si="50"/>
        <v/>
      </c>
      <c r="JG21" s="4" t="str">
        <f t="shared" si="51"/>
        <v/>
      </c>
      <c r="JH21" s="4" t="str">
        <f t="shared" si="52"/>
        <v/>
      </c>
      <c r="JI21" s="4" t="str">
        <f t="shared" si="53"/>
        <v/>
      </c>
      <c r="JJ21" s="4" t="str">
        <f t="shared" si="54"/>
        <v/>
      </c>
      <c r="JK21" s="4" t="str">
        <f t="shared" si="55"/>
        <v/>
      </c>
      <c r="JL21" s="4" t="str">
        <f t="shared" si="56"/>
        <v/>
      </c>
      <c r="JM21" s="4" t="str">
        <f t="shared" si="57"/>
        <v/>
      </c>
      <c r="JN21" s="4" t="str">
        <f t="shared" si="58"/>
        <v/>
      </c>
      <c r="JO21" s="4" t="str">
        <f t="shared" si="59"/>
        <v/>
      </c>
      <c r="JP21" s="4" t="str">
        <f t="shared" si="60"/>
        <v/>
      </c>
      <c r="JQ21" s="4" t="str">
        <f t="shared" si="61"/>
        <v/>
      </c>
      <c r="JR21" s="4" t="str">
        <f t="shared" si="62"/>
        <v/>
      </c>
      <c r="JS21" s="4" t="str">
        <f t="shared" si="63"/>
        <v/>
      </c>
      <c r="JT21" s="4" t="str">
        <f t="shared" si="64"/>
        <v/>
      </c>
      <c r="JU21" s="4" t="str">
        <f t="shared" si="65"/>
        <v/>
      </c>
      <c r="JV21" s="4" t="str">
        <f t="shared" si="66"/>
        <v/>
      </c>
      <c r="JW21" s="4" t="str">
        <f t="shared" si="67"/>
        <v/>
      </c>
      <c r="JX21" s="4" t="str">
        <f t="shared" si="68"/>
        <v/>
      </c>
      <c r="JY21" s="4" t="str">
        <f t="shared" si="69"/>
        <v/>
      </c>
      <c r="JZ21" s="4" t="str">
        <f t="shared" si="70"/>
        <v/>
      </c>
      <c r="KA21" s="4" t="str">
        <f t="shared" si="71"/>
        <v/>
      </c>
      <c r="KB21" s="4" t="str">
        <f t="shared" si="72"/>
        <v/>
      </c>
      <c r="KC21" s="4" t="str">
        <f t="shared" si="73"/>
        <v/>
      </c>
      <c r="KD21" s="4" t="str">
        <f t="shared" si="74"/>
        <v/>
      </c>
      <c r="KE21" s="4" t="str">
        <f t="shared" si="75"/>
        <v/>
      </c>
      <c r="KF21" s="4" t="str">
        <f t="shared" si="76"/>
        <v/>
      </c>
      <c r="KG21" s="4" t="str">
        <f t="shared" si="77"/>
        <v/>
      </c>
      <c r="KH21" s="4" t="str">
        <f t="shared" si="78"/>
        <v/>
      </c>
      <c r="KI21" s="4" t="str">
        <f t="shared" si="79"/>
        <v/>
      </c>
      <c r="KJ21" s="4" t="str">
        <f t="shared" si="80"/>
        <v/>
      </c>
      <c r="KK21" s="4" t="str">
        <f t="shared" si="81"/>
        <v/>
      </c>
      <c r="KL21" s="4" t="str">
        <f t="shared" si="82"/>
        <v/>
      </c>
      <c r="KM21" s="4" t="str">
        <f t="shared" si="83"/>
        <v/>
      </c>
      <c r="KN21" s="4" t="str">
        <f t="shared" si="84"/>
        <v/>
      </c>
      <c r="KO21" s="4" t="str">
        <f t="shared" si="85"/>
        <v/>
      </c>
      <c r="KP21" s="4" t="str">
        <f t="shared" si="86"/>
        <v/>
      </c>
      <c r="KQ21" s="4" t="str">
        <f t="shared" si="87"/>
        <v/>
      </c>
      <c r="KR21" s="4" t="str">
        <f t="shared" si="88"/>
        <v/>
      </c>
      <c r="KS21" s="4" t="str">
        <f t="shared" si="89"/>
        <v/>
      </c>
      <c r="KT21" s="4" t="str">
        <f t="shared" si="90"/>
        <v/>
      </c>
      <c r="KU21" s="4" t="str">
        <f t="shared" si="91"/>
        <v/>
      </c>
      <c r="KV21" s="4" t="str">
        <f t="shared" si="92"/>
        <v/>
      </c>
      <c r="KW21" s="4" t="str">
        <f t="shared" si="93"/>
        <v/>
      </c>
      <c r="KX21" s="4" t="str">
        <f t="shared" si="94"/>
        <v/>
      </c>
      <c r="KY21" s="4" t="str">
        <f t="shared" si="95"/>
        <v/>
      </c>
      <c r="KZ21" s="4" t="str">
        <f t="shared" si="96"/>
        <v/>
      </c>
      <c r="LA21" s="4" t="str">
        <f t="shared" si="97"/>
        <v/>
      </c>
      <c r="LB21" s="4" t="str">
        <f t="shared" si="98"/>
        <v/>
      </c>
      <c r="LC21" s="4" t="str">
        <f t="shared" si="99"/>
        <v/>
      </c>
      <c r="LD21" s="4" t="str">
        <f t="shared" si="100"/>
        <v/>
      </c>
      <c r="LE21" s="4" t="str">
        <f t="shared" si="101"/>
        <v/>
      </c>
      <c r="LF21" s="4" t="str">
        <f t="shared" si="102"/>
        <v/>
      </c>
      <c r="LG21" s="4" t="str">
        <f t="shared" si="103"/>
        <v/>
      </c>
      <c r="LH21" s="4" t="str">
        <f t="shared" si="104"/>
        <v/>
      </c>
      <c r="LI21" s="4" t="str">
        <f t="shared" si="105"/>
        <v/>
      </c>
      <c r="LJ21" s="4" t="str">
        <f t="shared" si="106"/>
        <v/>
      </c>
      <c r="LK21" s="4" t="str">
        <f t="shared" si="107"/>
        <v/>
      </c>
      <c r="LL21" s="4" t="str">
        <f t="shared" si="108"/>
        <v/>
      </c>
      <c r="LM21" s="4" t="str">
        <f t="shared" si="109"/>
        <v/>
      </c>
      <c r="LN21" s="4" t="str">
        <f t="shared" si="110"/>
        <v/>
      </c>
      <c r="LO21" s="4" t="str">
        <f t="shared" si="111"/>
        <v/>
      </c>
      <c r="LP21" s="4" t="str">
        <f t="shared" si="112"/>
        <v/>
      </c>
      <c r="LQ21" s="4" t="str">
        <f t="shared" si="113"/>
        <v/>
      </c>
      <c r="LR21" s="4" t="str">
        <f t="shared" si="114"/>
        <v/>
      </c>
      <c r="LS21" s="4" t="str">
        <f t="shared" si="115"/>
        <v/>
      </c>
      <c r="LT21" s="4" t="str">
        <f t="shared" si="116"/>
        <v/>
      </c>
      <c r="LU21" s="4" t="str">
        <f t="shared" si="117"/>
        <v/>
      </c>
      <c r="LV21" s="4" t="str">
        <f t="shared" si="118"/>
        <v/>
      </c>
      <c r="LW21" s="4" t="str">
        <f t="shared" si="119"/>
        <v/>
      </c>
      <c r="LX21" s="4" t="str">
        <f t="shared" si="120"/>
        <v/>
      </c>
      <c r="LY21" s="4" t="str">
        <f t="shared" si="121"/>
        <v/>
      </c>
      <c r="LZ21" s="4" t="str">
        <f t="shared" si="122"/>
        <v/>
      </c>
      <c r="MA21" s="4" t="str">
        <f t="shared" si="123"/>
        <v/>
      </c>
      <c r="MB21" s="4" t="str">
        <f t="shared" si="124"/>
        <v/>
      </c>
      <c r="MC21" s="4" t="str">
        <f t="shared" si="125"/>
        <v/>
      </c>
      <c r="MD21" s="4" t="str">
        <f t="shared" si="126"/>
        <v/>
      </c>
      <c r="ME21" s="4" t="str">
        <f t="shared" si="127"/>
        <v/>
      </c>
      <c r="MF21" s="4" t="str">
        <f t="shared" si="128"/>
        <v/>
      </c>
      <c r="MG21" s="4" t="str">
        <f t="shared" si="129"/>
        <v/>
      </c>
      <c r="MH21" s="4" t="str">
        <f t="shared" si="130"/>
        <v/>
      </c>
      <c r="MI21" s="4" t="str">
        <f t="shared" si="131"/>
        <v/>
      </c>
      <c r="MJ21" s="4" t="str">
        <f t="shared" si="132"/>
        <v/>
      </c>
      <c r="MK21" s="4" t="str">
        <f t="shared" si="133"/>
        <v/>
      </c>
      <c r="ML21" s="4" t="str">
        <f t="shared" si="134"/>
        <v/>
      </c>
      <c r="MM21" s="4" t="str">
        <f t="shared" si="135"/>
        <v/>
      </c>
      <c r="MN21" s="4" t="str">
        <f t="shared" si="136"/>
        <v/>
      </c>
      <c r="MO21" s="4" t="str">
        <f t="shared" si="137"/>
        <v/>
      </c>
      <c r="MP21" s="4" t="str">
        <f t="shared" si="138"/>
        <v/>
      </c>
      <c r="MQ21" s="4" t="str">
        <f t="shared" si="139"/>
        <v/>
      </c>
      <c r="MR21" s="4" t="str">
        <f t="shared" si="140"/>
        <v/>
      </c>
      <c r="MS21" s="4" t="str">
        <f t="shared" si="141"/>
        <v/>
      </c>
      <c r="MT21" s="4" t="str">
        <f t="shared" si="142"/>
        <v/>
      </c>
      <c r="MU21" s="4" t="str">
        <f t="shared" si="143"/>
        <v/>
      </c>
      <c r="MV21" s="4" t="str">
        <f t="shared" si="144"/>
        <v/>
      </c>
      <c r="MW21" s="4" t="str">
        <f t="shared" si="145"/>
        <v/>
      </c>
      <c r="MX21" s="4" t="str">
        <f t="shared" si="146"/>
        <v/>
      </c>
      <c r="MY21" s="4" t="str">
        <f t="shared" si="147"/>
        <v/>
      </c>
      <c r="MZ21" s="4" t="str">
        <f t="shared" si="148"/>
        <v/>
      </c>
      <c r="NA21" s="4" t="str">
        <f t="shared" si="149"/>
        <v/>
      </c>
      <c r="NB21" s="4" t="str">
        <f t="shared" si="150"/>
        <v/>
      </c>
      <c r="NC21" s="4" t="str">
        <f t="shared" si="151"/>
        <v/>
      </c>
      <c r="ND21" s="4" t="str">
        <f t="shared" si="152"/>
        <v/>
      </c>
      <c r="NE21" s="4" t="str">
        <f t="shared" si="153"/>
        <v/>
      </c>
      <c r="NF21" s="4" t="str">
        <f t="shared" si="154"/>
        <v/>
      </c>
      <c r="NG21" s="4" t="str">
        <f t="shared" si="155"/>
        <v/>
      </c>
      <c r="NH21" s="4" t="str">
        <f t="shared" si="156"/>
        <v/>
      </c>
      <c r="NI21" s="4" t="str">
        <f t="shared" si="157"/>
        <v/>
      </c>
      <c r="NJ21" s="4" t="str">
        <f t="shared" si="158"/>
        <v/>
      </c>
      <c r="NK21" s="4" t="str">
        <f t="shared" si="159"/>
        <v/>
      </c>
      <c r="NL21" s="4" t="str">
        <f t="shared" si="160"/>
        <v/>
      </c>
      <c r="NM21" s="4" t="str">
        <f t="shared" si="161"/>
        <v/>
      </c>
      <c r="NN21" s="4" t="str">
        <f t="shared" si="162"/>
        <v/>
      </c>
      <c r="NO21" s="4" t="str">
        <f t="shared" si="163"/>
        <v/>
      </c>
      <c r="NP21" s="4" t="str">
        <f t="shared" si="164"/>
        <v/>
      </c>
      <c r="NQ21" s="4" t="str">
        <f t="shared" si="165"/>
        <v/>
      </c>
      <c r="NR21" s="4" t="str">
        <f t="shared" si="166"/>
        <v/>
      </c>
      <c r="NS21" s="4" t="str">
        <f t="shared" si="167"/>
        <v/>
      </c>
      <c r="NT21" s="4" t="str">
        <f t="shared" si="168"/>
        <v/>
      </c>
      <c r="NU21" s="4" t="str">
        <f t="shared" si="169"/>
        <v/>
      </c>
      <c r="NV21" s="4" t="str">
        <f t="shared" si="170"/>
        <v/>
      </c>
      <c r="NW21" s="4" t="str">
        <f t="shared" si="171"/>
        <v/>
      </c>
      <c r="NX21" s="4" t="str">
        <f t="shared" si="172"/>
        <v/>
      </c>
      <c r="NY21" s="4" t="str">
        <f t="shared" si="173"/>
        <v/>
      </c>
      <c r="NZ21" s="4" t="str">
        <f t="shared" si="174"/>
        <v/>
      </c>
      <c r="OA21" s="4" t="str">
        <f t="shared" si="175"/>
        <v/>
      </c>
      <c r="OB21" s="4" t="str">
        <f t="shared" si="176"/>
        <v/>
      </c>
      <c r="OC21" s="4" t="str">
        <f t="shared" si="177"/>
        <v/>
      </c>
      <c r="OD21" s="4" t="str">
        <f t="shared" si="178"/>
        <v/>
      </c>
      <c r="OE21" s="4" t="str">
        <f t="shared" si="179"/>
        <v/>
      </c>
      <c r="OF21" s="4" t="str">
        <f t="shared" si="180"/>
        <v/>
      </c>
      <c r="OG21" s="4" t="str">
        <f t="shared" si="181"/>
        <v/>
      </c>
      <c r="OH21" s="4" t="str">
        <f t="shared" si="182"/>
        <v/>
      </c>
      <c r="OI21" s="4" t="str">
        <f t="shared" si="183"/>
        <v/>
      </c>
      <c r="OJ21" s="4" t="str">
        <f t="shared" si="184"/>
        <v/>
      </c>
      <c r="OK21" s="4" t="str">
        <f t="shared" si="185"/>
        <v/>
      </c>
      <c r="OL21" s="4" t="str">
        <f t="shared" si="186"/>
        <v/>
      </c>
      <c r="OM21" s="4" t="str">
        <f t="shared" si="187"/>
        <v/>
      </c>
      <c r="ON21" s="4" t="str">
        <f t="shared" si="188"/>
        <v/>
      </c>
      <c r="OO21" s="4" t="str">
        <f t="shared" si="189"/>
        <v/>
      </c>
      <c r="OP21" s="4" t="str">
        <f t="shared" si="190"/>
        <v/>
      </c>
      <c r="OQ21" s="4" t="str">
        <f t="shared" si="191"/>
        <v/>
      </c>
      <c r="OR21" s="4" t="str">
        <f t="shared" si="192"/>
        <v/>
      </c>
      <c r="OS21" s="4" t="str">
        <f t="shared" si="193"/>
        <v/>
      </c>
      <c r="OT21" s="4" t="str">
        <f t="shared" si="194"/>
        <v/>
      </c>
      <c r="OU21" s="4" t="str">
        <f t="shared" si="195"/>
        <v/>
      </c>
      <c r="OV21" s="4" t="str">
        <f t="shared" si="196"/>
        <v/>
      </c>
      <c r="OW21" s="4" t="str">
        <f t="shared" si="197"/>
        <v/>
      </c>
      <c r="OX21" s="4" t="str">
        <f t="shared" si="198"/>
        <v/>
      </c>
      <c r="OY21" s="4" t="str">
        <f t="shared" si="199"/>
        <v/>
      </c>
      <c r="OZ21" s="4" t="str">
        <f t="shared" si="200"/>
        <v/>
      </c>
      <c r="PA21" s="4" t="str">
        <f t="shared" si="201"/>
        <v/>
      </c>
      <c r="PB21" s="4" t="str">
        <f t="shared" si="202"/>
        <v/>
      </c>
      <c r="PC21" s="4" t="str">
        <f t="shared" si="203"/>
        <v/>
      </c>
      <c r="PD21" s="4" t="str">
        <f t="shared" si="204"/>
        <v/>
      </c>
      <c r="PE21" s="4" t="str">
        <f t="shared" si="205"/>
        <v/>
      </c>
      <c r="PF21" s="4" t="str">
        <f t="shared" si="206"/>
        <v/>
      </c>
      <c r="PG21" s="4" t="str">
        <f t="shared" si="207"/>
        <v/>
      </c>
      <c r="PH21" s="4" t="str">
        <f t="shared" si="208"/>
        <v/>
      </c>
      <c r="PI21" s="4" t="str">
        <f t="shared" si="209"/>
        <v/>
      </c>
      <c r="PJ21" s="4" t="str">
        <f t="shared" si="210"/>
        <v/>
      </c>
      <c r="PK21" s="4" t="str">
        <f t="shared" si="211"/>
        <v/>
      </c>
      <c r="PL21" s="4" t="str">
        <f t="shared" si="212"/>
        <v/>
      </c>
      <c r="PM21" s="4" t="str">
        <f t="shared" si="213"/>
        <v/>
      </c>
      <c r="PN21" s="4" t="str">
        <f t="shared" si="214"/>
        <v/>
      </c>
      <c r="PO21" s="4" t="str">
        <f t="shared" si="215"/>
        <v/>
      </c>
      <c r="PP21" s="4" t="str">
        <f t="shared" si="216"/>
        <v/>
      </c>
      <c r="PQ21" s="4" t="str">
        <f t="shared" si="217"/>
        <v/>
      </c>
      <c r="PR21" s="4" t="str">
        <f t="shared" si="218"/>
        <v/>
      </c>
      <c r="PS21" s="4" t="str">
        <f t="shared" si="219"/>
        <v/>
      </c>
    </row>
    <row r="22">
      <c r="HI22" s="4" t="str">
        <f t="shared" si="2"/>
        <v/>
      </c>
      <c r="HJ22" s="4" t="str">
        <f t="shared" si="3"/>
        <v/>
      </c>
      <c r="HK22" s="4" t="str">
        <f t="shared" si="4"/>
        <v/>
      </c>
      <c r="HL22" s="4" t="str">
        <f t="shared" si="5"/>
        <v/>
      </c>
      <c r="HM22" s="4" t="str">
        <f t="shared" si="6"/>
        <v/>
      </c>
      <c r="HN22" s="4" t="str">
        <f t="shared" si="7"/>
        <v/>
      </c>
      <c r="HO22" s="4" t="str">
        <f t="shared" si="8"/>
        <v/>
      </c>
      <c r="HP22" s="4" t="str">
        <f t="shared" si="9"/>
        <v/>
      </c>
      <c r="HQ22" s="4" t="str">
        <f t="shared" si="10"/>
        <v/>
      </c>
      <c r="HR22" s="4" t="str">
        <f t="shared" si="11"/>
        <v/>
      </c>
      <c r="HS22" s="4" t="str">
        <f t="shared" si="12"/>
        <v/>
      </c>
      <c r="HT22" s="4" t="str">
        <f t="shared" si="13"/>
        <v/>
      </c>
      <c r="HU22" s="4" t="str">
        <f t="shared" si="14"/>
        <v/>
      </c>
      <c r="HV22" s="4" t="str">
        <f t="shared" si="15"/>
        <v/>
      </c>
      <c r="HW22" s="4" t="str">
        <f t="shared" si="16"/>
        <v/>
      </c>
      <c r="HX22" s="4" t="str">
        <f t="shared" si="17"/>
        <v/>
      </c>
      <c r="HY22" s="4" t="str">
        <f t="shared" si="18"/>
        <v/>
      </c>
      <c r="HZ22" s="4" t="str">
        <f t="shared" si="19"/>
        <v/>
      </c>
      <c r="IA22" s="4" t="str">
        <f t="shared" si="20"/>
        <v/>
      </c>
      <c r="IB22" s="4" t="str">
        <f t="shared" si="21"/>
        <v/>
      </c>
      <c r="IC22" s="4" t="str">
        <f t="shared" si="22"/>
        <v/>
      </c>
      <c r="ID22" s="4" t="str">
        <f t="shared" si="23"/>
        <v/>
      </c>
      <c r="IE22" s="4" t="str">
        <f t="shared" si="24"/>
        <v/>
      </c>
      <c r="IF22" s="4" t="str">
        <f t="shared" si="25"/>
        <v/>
      </c>
      <c r="IG22" s="4" t="str">
        <f t="shared" si="26"/>
        <v/>
      </c>
      <c r="IH22" s="4" t="str">
        <f t="shared" si="27"/>
        <v/>
      </c>
      <c r="II22" s="4" t="str">
        <f t="shared" si="28"/>
        <v/>
      </c>
      <c r="IJ22" s="4" t="str">
        <f t="shared" si="29"/>
        <v/>
      </c>
      <c r="IK22" s="4" t="str">
        <f t="shared" si="30"/>
        <v/>
      </c>
      <c r="IL22" s="4" t="str">
        <f t="shared" si="31"/>
        <v/>
      </c>
      <c r="IM22" s="4" t="str">
        <f t="shared" si="32"/>
        <v/>
      </c>
      <c r="IN22" s="4" t="str">
        <f t="shared" si="33"/>
        <v/>
      </c>
      <c r="IO22" s="4" t="str">
        <f t="shared" si="34"/>
        <v/>
      </c>
      <c r="IP22" s="4" t="str">
        <f t="shared" si="35"/>
        <v/>
      </c>
      <c r="IQ22" s="4" t="str">
        <f t="shared" si="36"/>
        <v/>
      </c>
      <c r="IR22" s="4" t="str">
        <f t="shared" si="37"/>
        <v/>
      </c>
      <c r="IS22" s="4" t="str">
        <f t="shared" si="38"/>
        <v/>
      </c>
      <c r="IT22" s="4" t="str">
        <f t="shared" si="39"/>
        <v/>
      </c>
      <c r="IU22" s="4" t="str">
        <f t="shared" si="40"/>
        <v/>
      </c>
      <c r="IV22" s="4" t="str">
        <f t="shared" si="41"/>
        <v/>
      </c>
      <c r="IW22" s="4" t="str">
        <f t="shared" si="42"/>
        <v/>
      </c>
      <c r="IX22" s="4" t="str">
        <f t="shared" si="43"/>
        <v/>
      </c>
      <c r="IY22" s="4" t="str">
        <f t="shared" si="44"/>
        <v/>
      </c>
      <c r="IZ22" s="4" t="str">
        <f t="shared" si="45"/>
        <v/>
      </c>
      <c r="JA22" s="4" t="str">
        <f t="shared" ref="JA22:JB22" si="238">if(ISERROR(SEARCH("Higher Education",BB22)),"","810")</f>
        <v/>
      </c>
      <c r="JB22" s="4" t="str">
        <f t="shared" si="238"/>
        <v/>
      </c>
      <c r="JC22" s="4" t="str">
        <f t="shared" si="47"/>
        <v/>
      </c>
      <c r="JD22" s="4" t="str">
        <f t="shared" si="48"/>
        <v/>
      </c>
      <c r="JE22" s="4" t="str">
        <f t="shared" si="49"/>
        <v/>
      </c>
      <c r="JF22" s="4" t="str">
        <f t="shared" si="50"/>
        <v/>
      </c>
      <c r="JG22" s="4" t="str">
        <f t="shared" si="51"/>
        <v/>
      </c>
      <c r="JH22" s="4" t="str">
        <f t="shared" si="52"/>
        <v/>
      </c>
      <c r="JI22" s="4" t="str">
        <f t="shared" si="53"/>
        <v/>
      </c>
      <c r="JJ22" s="4" t="str">
        <f t="shared" si="54"/>
        <v/>
      </c>
      <c r="JK22" s="4" t="str">
        <f t="shared" si="55"/>
        <v/>
      </c>
      <c r="JL22" s="4" t="str">
        <f t="shared" si="56"/>
        <v/>
      </c>
      <c r="JM22" s="4" t="str">
        <f t="shared" si="57"/>
        <v/>
      </c>
      <c r="JN22" s="4" t="str">
        <f t="shared" si="58"/>
        <v/>
      </c>
      <c r="JO22" s="4" t="str">
        <f t="shared" si="59"/>
        <v/>
      </c>
      <c r="JP22" s="4" t="str">
        <f t="shared" si="60"/>
        <v/>
      </c>
      <c r="JQ22" s="4" t="str">
        <f t="shared" si="61"/>
        <v/>
      </c>
      <c r="JR22" s="4" t="str">
        <f t="shared" si="62"/>
        <v/>
      </c>
      <c r="JS22" s="4" t="str">
        <f t="shared" si="63"/>
        <v/>
      </c>
      <c r="JT22" s="4" t="str">
        <f t="shared" si="64"/>
        <v/>
      </c>
      <c r="JU22" s="4" t="str">
        <f t="shared" si="65"/>
        <v/>
      </c>
      <c r="JV22" s="4" t="str">
        <f t="shared" si="66"/>
        <v/>
      </c>
      <c r="JW22" s="4" t="str">
        <f t="shared" si="67"/>
        <v/>
      </c>
      <c r="JX22" s="4" t="str">
        <f t="shared" si="68"/>
        <v/>
      </c>
      <c r="JY22" s="4" t="str">
        <f t="shared" si="69"/>
        <v/>
      </c>
      <c r="JZ22" s="4" t="str">
        <f t="shared" si="70"/>
        <v/>
      </c>
      <c r="KA22" s="4" t="str">
        <f t="shared" si="71"/>
        <v/>
      </c>
      <c r="KB22" s="4" t="str">
        <f t="shared" si="72"/>
        <v/>
      </c>
      <c r="KC22" s="4" t="str">
        <f t="shared" si="73"/>
        <v/>
      </c>
      <c r="KD22" s="4" t="str">
        <f t="shared" si="74"/>
        <v/>
      </c>
      <c r="KE22" s="4" t="str">
        <f t="shared" si="75"/>
        <v/>
      </c>
      <c r="KF22" s="4" t="str">
        <f t="shared" si="76"/>
        <v/>
      </c>
      <c r="KG22" s="4" t="str">
        <f t="shared" si="77"/>
        <v/>
      </c>
      <c r="KH22" s="4" t="str">
        <f t="shared" si="78"/>
        <v/>
      </c>
      <c r="KI22" s="4" t="str">
        <f t="shared" si="79"/>
        <v/>
      </c>
      <c r="KJ22" s="4" t="str">
        <f t="shared" si="80"/>
        <v/>
      </c>
      <c r="KK22" s="4" t="str">
        <f t="shared" si="81"/>
        <v/>
      </c>
      <c r="KL22" s="4" t="str">
        <f t="shared" si="82"/>
        <v/>
      </c>
      <c r="KM22" s="4" t="str">
        <f t="shared" si="83"/>
        <v/>
      </c>
      <c r="KN22" s="4" t="str">
        <f t="shared" si="84"/>
        <v/>
      </c>
      <c r="KO22" s="4" t="str">
        <f t="shared" si="85"/>
        <v/>
      </c>
      <c r="KP22" s="4" t="str">
        <f t="shared" si="86"/>
        <v/>
      </c>
      <c r="KQ22" s="4" t="str">
        <f t="shared" si="87"/>
        <v/>
      </c>
      <c r="KR22" s="4" t="str">
        <f t="shared" si="88"/>
        <v/>
      </c>
      <c r="KS22" s="4" t="str">
        <f t="shared" si="89"/>
        <v/>
      </c>
      <c r="KT22" s="4" t="str">
        <f t="shared" si="90"/>
        <v/>
      </c>
      <c r="KU22" s="4" t="str">
        <f t="shared" si="91"/>
        <v/>
      </c>
      <c r="KV22" s="4" t="str">
        <f t="shared" si="92"/>
        <v/>
      </c>
      <c r="KW22" s="4" t="str">
        <f t="shared" si="93"/>
        <v/>
      </c>
      <c r="KX22" s="4" t="str">
        <f t="shared" si="94"/>
        <v/>
      </c>
      <c r="KY22" s="4" t="str">
        <f t="shared" si="95"/>
        <v/>
      </c>
      <c r="KZ22" s="4" t="str">
        <f t="shared" si="96"/>
        <v/>
      </c>
      <c r="LA22" s="4" t="str">
        <f t="shared" si="97"/>
        <v/>
      </c>
      <c r="LB22" s="4" t="str">
        <f t="shared" si="98"/>
        <v/>
      </c>
      <c r="LC22" s="4" t="str">
        <f t="shared" si="99"/>
        <v/>
      </c>
      <c r="LD22" s="4" t="str">
        <f t="shared" si="100"/>
        <v/>
      </c>
      <c r="LE22" s="4" t="str">
        <f t="shared" si="101"/>
        <v/>
      </c>
      <c r="LF22" s="4" t="str">
        <f t="shared" si="102"/>
        <v/>
      </c>
      <c r="LG22" s="4" t="str">
        <f t="shared" si="103"/>
        <v/>
      </c>
      <c r="LH22" s="4" t="str">
        <f t="shared" si="104"/>
        <v/>
      </c>
      <c r="LI22" s="4" t="str">
        <f t="shared" si="105"/>
        <v/>
      </c>
      <c r="LJ22" s="4" t="str">
        <f t="shared" si="106"/>
        <v/>
      </c>
      <c r="LK22" s="4" t="str">
        <f t="shared" si="107"/>
        <v/>
      </c>
      <c r="LL22" s="4" t="str">
        <f t="shared" si="108"/>
        <v/>
      </c>
      <c r="LM22" s="4" t="str">
        <f t="shared" si="109"/>
        <v/>
      </c>
      <c r="LN22" s="4" t="str">
        <f t="shared" si="110"/>
        <v/>
      </c>
      <c r="LO22" s="4" t="str">
        <f t="shared" si="111"/>
        <v/>
      </c>
      <c r="LP22" s="4" t="str">
        <f t="shared" si="112"/>
        <v/>
      </c>
      <c r="LQ22" s="4" t="str">
        <f t="shared" si="113"/>
        <v/>
      </c>
      <c r="LR22" s="4" t="str">
        <f t="shared" si="114"/>
        <v/>
      </c>
      <c r="LS22" s="4" t="str">
        <f t="shared" si="115"/>
        <v/>
      </c>
      <c r="LT22" s="4" t="str">
        <f t="shared" si="116"/>
        <v/>
      </c>
      <c r="LU22" s="4" t="str">
        <f t="shared" si="117"/>
        <v/>
      </c>
      <c r="LV22" s="4" t="str">
        <f t="shared" si="118"/>
        <v/>
      </c>
      <c r="LW22" s="4" t="str">
        <f t="shared" si="119"/>
        <v/>
      </c>
      <c r="LX22" s="4" t="str">
        <f t="shared" si="120"/>
        <v/>
      </c>
      <c r="LY22" s="4" t="str">
        <f t="shared" si="121"/>
        <v/>
      </c>
      <c r="LZ22" s="4" t="str">
        <f t="shared" si="122"/>
        <v/>
      </c>
      <c r="MA22" s="4" t="str">
        <f t="shared" si="123"/>
        <v/>
      </c>
      <c r="MB22" s="4" t="str">
        <f t="shared" si="124"/>
        <v/>
      </c>
      <c r="MC22" s="4" t="str">
        <f t="shared" si="125"/>
        <v/>
      </c>
      <c r="MD22" s="4" t="str">
        <f t="shared" si="126"/>
        <v/>
      </c>
      <c r="ME22" s="4" t="str">
        <f t="shared" si="127"/>
        <v/>
      </c>
      <c r="MF22" s="4" t="str">
        <f t="shared" si="128"/>
        <v/>
      </c>
      <c r="MG22" s="4" t="str">
        <f t="shared" si="129"/>
        <v/>
      </c>
      <c r="MH22" s="4" t="str">
        <f t="shared" si="130"/>
        <v/>
      </c>
      <c r="MI22" s="4" t="str">
        <f t="shared" si="131"/>
        <v/>
      </c>
      <c r="MJ22" s="4" t="str">
        <f t="shared" si="132"/>
        <v/>
      </c>
      <c r="MK22" s="4" t="str">
        <f t="shared" si="133"/>
        <v/>
      </c>
      <c r="ML22" s="4" t="str">
        <f t="shared" si="134"/>
        <v/>
      </c>
      <c r="MM22" s="4" t="str">
        <f t="shared" si="135"/>
        <v/>
      </c>
      <c r="MN22" s="4" t="str">
        <f t="shared" si="136"/>
        <v/>
      </c>
      <c r="MO22" s="4" t="str">
        <f t="shared" si="137"/>
        <v/>
      </c>
      <c r="MP22" s="4" t="str">
        <f t="shared" si="138"/>
        <v/>
      </c>
      <c r="MQ22" s="4" t="str">
        <f t="shared" si="139"/>
        <v/>
      </c>
      <c r="MR22" s="4" t="str">
        <f t="shared" si="140"/>
        <v/>
      </c>
      <c r="MS22" s="4" t="str">
        <f t="shared" si="141"/>
        <v/>
      </c>
      <c r="MT22" s="4" t="str">
        <f t="shared" si="142"/>
        <v/>
      </c>
      <c r="MU22" s="4" t="str">
        <f t="shared" si="143"/>
        <v/>
      </c>
      <c r="MV22" s="4" t="str">
        <f t="shared" si="144"/>
        <v/>
      </c>
      <c r="MW22" s="4" t="str">
        <f t="shared" si="145"/>
        <v/>
      </c>
      <c r="MX22" s="4" t="str">
        <f t="shared" si="146"/>
        <v/>
      </c>
      <c r="MY22" s="4" t="str">
        <f t="shared" si="147"/>
        <v/>
      </c>
      <c r="MZ22" s="4" t="str">
        <f t="shared" si="148"/>
        <v/>
      </c>
      <c r="NA22" s="4" t="str">
        <f t="shared" si="149"/>
        <v/>
      </c>
      <c r="NB22" s="4" t="str">
        <f t="shared" si="150"/>
        <v/>
      </c>
      <c r="NC22" s="4" t="str">
        <f t="shared" si="151"/>
        <v/>
      </c>
      <c r="ND22" s="4" t="str">
        <f t="shared" si="152"/>
        <v/>
      </c>
      <c r="NE22" s="4" t="str">
        <f t="shared" si="153"/>
        <v/>
      </c>
      <c r="NF22" s="4" t="str">
        <f t="shared" si="154"/>
        <v/>
      </c>
      <c r="NG22" s="4" t="str">
        <f t="shared" si="155"/>
        <v/>
      </c>
      <c r="NH22" s="4" t="str">
        <f t="shared" si="156"/>
        <v/>
      </c>
      <c r="NI22" s="4" t="str">
        <f t="shared" si="157"/>
        <v/>
      </c>
      <c r="NJ22" s="4" t="str">
        <f t="shared" si="158"/>
        <v/>
      </c>
      <c r="NK22" s="4" t="str">
        <f t="shared" si="159"/>
        <v/>
      </c>
      <c r="NL22" s="4" t="str">
        <f t="shared" si="160"/>
        <v/>
      </c>
      <c r="NM22" s="4" t="str">
        <f t="shared" si="161"/>
        <v/>
      </c>
      <c r="NN22" s="4" t="str">
        <f t="shared" si="162"/>
        <v/>
      </c>
      <c r="NO22" s="4" t="str">
        <f t="shared" si="163"/>
        <v/>
      </c>
      <c r="NP22" s="4" t="str">
        <f t="shared" si="164"/>
        <v/>
      </c>
      <c r="NQ22" s="4" t="str">
        <f t="shared" si="165"/>
        <v/>
      </c>
      <c r="NR22" s="4" t="str">
        <f t="shared" si="166"/>
        <v/>
      </c>
      <c r="NS22" s="4" t="str">
        <f t="shared" si="167"/>
        <v/>
      </c>
      <c r="NT22" s="4" t="str">
        <f t="shared" si="168"/>
        <v/>
      </c>
      <c r="NU22" s="4" t="str">
        <f t="shared" si="169"/>
        <v/>
      </c>
      <c r="NV22" s="4" t="str">
        <f t="shared" si="170"/>
        <v/>
      </c>
      <c r="NW22" s="4" t="str">
        <f t="shared" si="171"/>
        <v/>
      </c>
      <c r="NX22" s="4" t="str">
        <f t="shared" si="172"/>
        <v/>
      </c>
      <c r="NY22" s="4" t="str">
        <f t="shared" si="173"/>
        <v/>
      </c>
      <c r="NZ22" s="4" t="str">
        <f t="shared" si="174"/>
        <v/>
      </c>
      <c r="OA22" s="4" t="str">
        <f t="shared" si="175"/>
        <v/>
      </c>
      <c r="OB22" s="4" t="str">
        <f t="shared" si="176"/>
        <v/>
      </c>
      <c r="OC22" s="4" t="str">
        <f t="shared" si="177"/>
        <v/>
      </c>
      <c r="OD22" s="4" t="str">
        <f t="shared" si="178"/>
        <v/>
      </c>
      <c r="OE22" s="4" t="str">
        <f t="shared" si="179"/>
        <v/>
      </c>
      <c r="OF22" s="4" t="str">
        <f t="shared" si="180"/>
        <v/>
      </c>
      <c r="OG22" s="4" t="str">
        <f t="shared" si="181"/>
        <v/>
      </c>
      <c r="OH22" s="4" t="str">
        <f t="shared" si="182"/>
        <v/>
      </c>
      <c r="OI22" s="4" t="str">
        <f t="shared" si="183"/>
        <v/>
      </c>
      <c r="OJ22" s="4" t="str">
        <f t="shared" si="184"/>
        <v/>
      </c>
      <c r="OK22" s="4" t="str">
        <f t="shared" si="185"/>
        <v/>
      </c>
      <c r="OL22" s="4" t="str">
        <f t="shared" si="186"/>
        <v/>
      </c>
      <c r="OM22" s="4" t="str">
        <f t="shared" si="187"/>
        <v/>
      </c>
      <c r="ON22" s="4" t="str">
        <f t="shared" si="188"/>
        <v/>
      </c>
      <c r="OO22" s="4" t="str">
        <f t="shared" si="189"/>
        <v/>
      </c>
      <c r="OP22" s="4" t="str">
        <f t="shared" si="190"/>
        <v/>
      </c>
      <c r="OQ22" s="4" t="str">
        <f t="shared" si="191"/>
        <v/>
      </c>
      <c r="OR22" s="4" t="str">
        <f t="shared" si="192"/>
        <v/>
      </c>
      <c r="OS22" s="4" t="str">
        <f t="shared" si="193"/>
        <v/>
      </c>
      <c r="OT22" s="4" t="str">
        <f t="shared" si="194"/>
        <v/>
      </c>
      <c r="OU22" s="4" t="str">
        <f t="shared" si="195"/>
        <v/>
      </c>
      <c r="OV22" s="4" t="str">
        <f t="shared" si="196"/>
        <v/>
      </c>
      <c r="OW22" s="4" t="str">
        <f t="shared" si="197"/>
        <v/>
      </c>
      <c r="OX22" s="4" t="str">
        <f t="shared" si="198"/>
        <v/>
      </c>
      <c r="OY22" s="4" t="str">
        <f t="shared" si="199"/>
        <v/>
      </c>
      <c r="OZ22" s="4" t="str">
        <f t="shared" si="200"/>
        <v/>
      </c>
      <c r="PA22" s="4" t="str">
        <f t="shared" si="201"/>
        <v/>
      </c>
      <c r="PB22" s="4" t="str">
        <f t="shared" si="202"/>
        <v/>
      </c>
      <c r="PC22" s="4" t="str">
        <f t="shared" si="203"/>
        <v/>
      </c>
      <c r="PD22" s="4" t="str">
        <f t="shared" si="204"/>
        <v/>
      </c>
      <c r="PE22" s="4" t="str">
        <f t="shared" si="205"/>
        <v/>
      </c>
      <c r="PF22" s="4" t="str">
        <f t="shared" si="206"/>
        <v/>
      </c>
      <c r="PG22" s="4" t="str">
        <f t="shared" si="207"/>
        <v/>
      </c>
      <c r="PH22" s="4" t="str">
        <f t="shared" si="208"/>
        <v/>
      </c>
      <c r="PI22" s="4" t="str">
        <f t="shared" si="209"/>
        <v/>
      </c>
      <c r="PJ22" s="4" t="str">
        <f t="shared" si="210"/>
        <v/>
      </c>
      <c r="PK22" s="4" t="str">
        <f t="shared" si="211"/>
        <v/>
      </c>
      <c r="PL22" s="4" t="str">
        <f t="shared" si="212"/>
        <v/>
      </c>
      <c r="PM22" s="4" t="str">
        <f t="shared" si="213"/>
        <v/>
      </c>
      <c r="PN22" s="4" t="str">
        <f t="shared" si="214"/>
        <v/>
      </c>
      <c r="PO22" s="4" t="str">
        <f t="shared" si="215"/>
        <v/>
      </c>
      <c r="PP22" s="4" t="str">
        <f t="shared" si="216"/>
        <v/>
      </c>
      <c r="PQ22" s="4" t="str">
        <f t="shared" si="217"/>
        <v/>
      </c>
      <c r="PR22" s="4" t="str">
        <f t="shared" si="218"/>
        <v/>
      </c>
      <c r="PS22" s="4" t="str">
        <f t="shared" si="219"/>
        <v/>
      </c>
    </row>
    <row r="23">
      <c r="HI23" s="4" t="str">
        <f t="shared" si="2"/>
        <v/>
      </c>
      <c r="HJ23" s="4" t="str">
        <f t="shared" si="3"/>
        <v/>
      </c>
      <c r="HK23" s="4" t="str">
        <f t="shared" si="4"/>
        <v/>
      </c>
      <c r="HL23" s="4" t="str">
        <f t="shared" si="5"/>
        <v/>
      </c>
      <c r="HM23" s="4" t="str">
        <f t="shared" si="6"/>
        <v/>
      </c>
      <c r="HN23" s="4" t="str">
        <f t="shared" si="7"/>
        <v/>
      </c>
      <c r="HO23" s="4" t="str">
        <f t="shared" si="8"/>
        <v/>
      </c>
      <c r="HP23" s="4" t="str">
        <f t="shared" si="9"/>
        <v/>
      </c>
      <c r="HQ23" s="4" t="str">
        <f t="shared" si="10"/>
        <v/>
      </c>
      <c r="HR23" s="4" t="str">
        <f t="shared" si="11"/>
        <v/>
      </c>
      <c r="HS23" s="4" t="str">
        <f t="shared" si="12"/>
        <v/>
      </c>
      <c r="HT23" s="4" t="str">
        <f t="shared" si="13"/>
        <v/>
      </c>
      <c r="HU23" s="4" t="str">
        <f t="shared" si="14"/>
        <v/>
      </c>
      <c r="HV23" s="4" t="str">
        <f t="shared" si="15"/>
        <v/>
      </c>
      <c r="HW23" s="4" t="str">
        <f t="shared" si="16"/>
        <v/>
      </c>
      <c r="HX23" s="4" t="str">
        <f t="shared" si="17"/>
        <v/>
      </c>
      <c r="HY23" s="4" t="str">
        <f t="shared" si="18"/>
        <v/>
      </c>
      <c r="HZ23" s="4" t="str">
        <f t="shared" si="19"/>
        <v/>
      </c>
      <c r="IA23" s="4" t="str">
        <f t="shared" si="20"/>
        <v/>
      </c>
      <c r="IB23" s="4" t="str">
        <f t="shared" si="21"/>
        <v/>
      </c>
      <c r="IC23" s="4" t="str">
        <f t="shared" si="22"/>
        <v/>
      </c>
      <c r="ID23" s="4" t="str">
        <f t="shared" si="23"/>
        <v/>
      </c>
      <c r="IE23" s="4" t="str">
        <f t="shared" si="24"/>
        <v/>
      </c>
      <c r="IF23" s="4" t="str">
        <f t="shared" si="25"/>
        <v/>
      </c>
      <c r="IG23" s="4" t="str">
        <f t="shared" si="26"/>
        <v/>
      </c>
      <c r="IH23" s="4" t="str">
        <f t="shared" si="27"/>
        <v/>
      </c>
      <c r="II23" s="4" t="str">
        <f t="shared" si="28"/>
        <v/>
      </c>
      <c r="IJ23" s="4" t="str">
        <f t="shared" si="29"/>
        <v/>
      </c>
      <c r="IK23" s="4" t="str">
        <f t="shared" si="30"/>
        <v/>
      </c>
      <c r="IL23" s="4" t="str">
        <f t="shared" si="31"/>
        <v/>
      </c>
      <c r="IM23" s="4" t="str">
        <f t="shared" si="32"/>
        <v/>
      </c>
      <c r="IN23" s="4" t="str">
        <f t="shared" si="33"/>
        <v/>
      </c>
      <c r="IO23" s="4" t="str">
        <f t="shared" si="34"/>
        <v/>
      </c>
      <c r="IP23" s="4" t="str">
        <f t="shared" si="35"/>
        <v/>
      </c>
      <c r="IQ23" s="4" t="str">
        <f t="shared" si="36"/>
        <v/>
      </c>
      <c r="IR23" s="4" t="str">
        <f t="shared" si="37"/>
        <v/>
      </c>
      <c r="IS23" s="4" t="str">
        <f t="shared" si="38"/>
        <v/>
      </c>
      <c r="IT23" s="4" t="str">
        <f t="shared" si="39"/>
        <v/>
      </c>
      <c r="IU23" s="4" t="str">
        <f t="shared" si="40"/>
        <v/>
      </c>
      <c r="IV23" s="4" t="str">
        <f t="shared" si="41"/>
        <v/>
      </c>
      <c r="IW23" s="4" t="str">
        <f t="shared" si="42"/>
        <v/>
      </c>
      <c r="IX23" s="4" t="str">
        <f t="shared" si="43"/>
        <v/>
      </c>
      <c r="IY23" s="4" t="str">
        <f t="shared" si="44"/>
        <v/>
      </c>
      <c r="IZ23" s="4" t="str">
        <f t="shared" si="45"/>
        <v/>
      </c>
      <c r="JA23" s="4" t="str">
        <f t="shared" ref="JA23:JB23" si="239">if(ISERROR(SEARCH("Higher Education",BB23)),"","810")</f>
        <v/>
      </c>
      <c r="JB23" s="4" t="str">
        <f t="shared" si="239"/>
        <v/>
      </c>
      <c r="JC23" s="4" t="str">
        <f t="shared" si="47"/>
        <v/>
      </c>
      <c r="JD23" s="4" t="str">
        <f t="shared" si="48"/>
        <v/>
      </c>
      <c r="JE23" s="4" t="str">
        <f t="shared" si="49"/>
        <v/>
      </c>
      <c r="JF23" s="4" t="str">
        <f t="shared" si="50"/>
        <v/>
      </c>
      <c r="JG23" s="4" t="str">
        <f t="shared" si="51"/>
        <v/>
      </c>
      <c r="JH23" s="4" t="str">
        <f t="shared" si="52"/>
        <v/>
      </c>
      <c r="JI23" s="4" t="str">
        <f t="shared" si="53"/>
        <v/>
      </c>
      <c r="JJ23" s="4" t="str">
        <f t="shared" si="54"/>
        <v/>
      </c>
      <c r="JK23" s="4" t="str">
        <f t="shared" si="55"/>
        <v/>
      </c>
      <c r="JL23" s="4" t="str">
        <f t="shared" si="56"/>
        <v/>
      </c>
      <c r="JM23" s="4" t="str">
        <f t="shared" si="57"/>
        <v/>
      </c>
      <c r="JN23" s="4" t="str">
        <f t="shared" si="58"/>
        <v/>
      </c>
      <c r="JO23" s="4" t="str">
        <f t="shared" si="59"/>
        <v/>
      </c>
      <c r="JP23" s="4" t="str">
        <f t="shared" si="60"/>
        <v/>
      </c>
      <c r="JQ23" s="4" t="str">
        <f t="shared" si="61"/>
        <v/>
      </c>
      <c r="JR23" s="4" t="str">
        <f t="shared" si="62"/>
        <v/>
      </c>
      <c r="JS23" s="4" t="str">
        <f t="shared" si="63"/>
        <v/>
      </c>
      <c r="JT23" s="4" t="str">
        <f t="shared" si="64"/>
        <v/>
      </c>
      <c r="JU23" s="4" t="str">
        <f t="shared" si="65"/>
        <v/>
      </c>
      <c r="JV23" s="4" t="str">
        <f t="shared" si="66"/>
        <v/>
      </c>
      <c r="JW23" s="4" t="str">
        <f t="shared" si="67"/>
        <v/>
      </c>
      <c r="JX23" s="4" t="str">
        <f t="shared" si="68"/>
        <v/>
      </c>
      <c r="JY23" s="4" t="str">
        <f t="shared" si="69"/>
        <v/>
      </c>
      <c r="JZ23" s="4" t="str">
        <f t="shared" si="70"/>
        <v/>
      </c>
      <c r="KA23" s="4" t="str">
        <f t="shared" si="71"/>
        <v/>
      </c>
      <c r="KB23" s="4" t="str">
        <f t="shared" si="72"/>
        <v/>
      </c>
      <c r="KC23" s="4" t="str">
        <f t="shared" si="73"/>
        <v/>
      </c>
      <c r="KD23" s="4" t="str">
        <f t="shared" si="74"/>
        <v/>
      </c>
      <c r="KE23" s="4" t="str">
        <f t="shared" si="75"/>
        <v/>
      </c>
      <c r="KF23" s="4" t="str">
        <f t="shared" si="76"/>
        <v/>
      </c>
      <c r="KG23" s="4" t="str">
        <f t="shared" si="77"/>
        <v/>
      </c>
      <c r="KH23" s="4" t="str">
        <f t="shared" si="78"/>
        <v/>
      </c>
      <c r="KI23" s="4" t="str">
        <f t="shared" si="79"/>
        <v/>
      </c>
      <c r="KJ23" s="4" t="str">
        <f t="shared" si="80"/>
        <v/>
      </c>
      <c r="KK23" s="4" t="str">
        <f t="shared" si="81"/>
        <v/>
      </c>
      <c r="KL23" s="4" t="str">
        <f t="shared" si="82"/>
        <v/>
      </c>
      <c r="KM23" s="4" t="str">
        <f t="shared" si="83"/>
        <v/>
      </c>
      <c r="KN23" s="4" t="str">
        <f t="shared" si="84"/>
        <v/>
      </c>
      <c r="KO23" s="4" t="str">
        <f t="shared" si="85"/>
        <v/>
      </c>
      <c r="KP23" s="4" t="str">
        <f t="shared" si="86"/>
        <v/>
      </c>
      <c r="KQ23" s="4" t="str">
        <f t="shared" si="87"/>
        <v/>
      </c>
      <c r="KR23" s="4" t="str">
        <f t="shared" si="88"/>
        <v/>
      </c>
      <c r="KS23" s="4" t="str">
        <f t="shared" si="89"/>
        <v/>
      </c>
      <c r="KT23" s="4" t="str">
        <f t="shared" si="90"/>
        <v/>
      </c>
      <c r="KU23" s="4" t="str">
        <f t="shared" si="91"/>
        <v/>
      </c>
      <c r="KV23" s="4" t="str">
        <f t="shared" si="92"/>
        <v/>
      </c>
      <c r="KW23" s="4" t="str">
        <f t="shared" si="93"/>
        <v/>
      </c>
      <c r="KX23" s="4" t="str">
        <f t="shared" si="94"/>
        <v/>
      </c>
      <c r="KY23" s="4" t="str">
        <f t="shared" si="95"/>
        <v/>
      </c>
      <c r="KZ23" s="4" t="str">
        <f t="shared" si="96"/>
        <v/>
      </c>
      <c r="LA23" s="4" t="str">
        <f t="shared" si="97"/>
        <v/>
      </c>
      <c r="LB23" s="4" t="str">
        <f t="shared" si="98"/>
        <v/>
      </c>
      <c r="LC23" s="4" t="str">
        <f t="shared" si="99"/>
        <v/>
      </c>
      <c r="LD23" s="4" t="str">
        <f t="shared" si="100"/>
        <v/>
      </c>
      <c r="LE23" s="4" t="str">
        <f t="shared" si="101"/>
        <v/>
      </c>
      <c r="LF23" s="4" t="str">
        <f t="shared" si="102"/>
        <v/>
      </c>
      <c r="LG23" s="4" t="str">
        <f t="shared" si="103"/>
        <v/>
      </c>
      <c r="LH23" s="4" t="str">
        <f t="shared" si="104"/>
        <v/>
      </c>
      <c r="LI23" s="4" t="str">
        <f t="shared" si="105"/>
        <v/>
      </c>
      <c r="LJ23" s="4" t="str">
        <f t="shared" si="106"/>
        <v/>
      </c>
      <c r="LK23" s="4" t="str">
        <f t="shared" si="107"/>
        <v/>
      </c>
      <c r="LL23" s="4" t="str">
        <f t="shared" si="108"/>
        <v/>
      </c>
      <c r="LM23" s="4" t="str">
        <f t="shared" si="109"/>
        <v/>
      </c>
      <c r="LN23" s="4" t="str">
        <f t="shared" si="110"/>
        <v/>
      </c>
      <c r="LO23" s="4" t="str">
        <f t="shared" si="111"/>
        <v/>
      </c>
      <c r="LP23" s="4" t="str">
        <f t="shared" si="112"/>
        <v/>
      </c>
      <c r="LQ23" s="4" t="str">
        <f t="shared" si="113"/>
        <v/>
      </c>
      <c r="LR23" s="4" t="str">
        <f t="shared" si="114"/>
        <v/>
      </c>
      <c r="LS23" s="4" t="str">
        <f t="shared" si="115"/>
        <v/>
      </c>
      <c r="LT23" s="4" t="str">
        <f t="shared" si="116"/>
        <v/>
      </c>
      <c r="LU23" s="4" t="str">
        <f t="shared" si="117"/>
        <v/>
      </c>
      <c r="LV23" s="4" t="str">
        <f t="shared" si="118"/>
        <v/>
      </c>
      <c r="LW23" s="4" t="str">
        <f t="shared" si="119"/>
        <v/>
      </c>
      <c r="LX23" s="4" t="str">
        <f t="shared" si="120"/>
        <v/>
      </c>
      <c r="LY23" s="4" t="str">
        <f t="shared" si="121"/>
        <v/>
      </c>
      <c r="LZ23" s="4" t="str">
        <f t="shared" si="122"/>
        <v/>
      </c>
      <c r="MA23" s="4" t="str">
        <f t="shared" si="123"/>
        <v/>
      </c>
      <c r="MB23" s="4" t="str">
        <f t="shared" si="124"/>
        <v/>
      </c>
      <c r="MC23" s="4" t="str">
        <f t="shared" si="125"/>
        <v/>
      </c>
      <c r="MD23" s="4" t="str">
        <f t="shared" si="126"/>
        <v/>
      </c>
      <c r="ME23" s="4" t="str">
        <f t="shared" si="127"/>
        <v/>
      </c>
      <c r="MF23" s="4" t="str">
        <f t="shared" si="128"/>
        <v/>
      </c>
      <c r="MG23" s="4" t="str">
        <f t="shared" si="129"/>
        <v/>
      </c>
      <c r="MH23" s="4" t="str">
        <f t="shared" si="130"/>
        <v/>
      </c>
      <c r="MI23" s="4" t="str">
        <f t="shared" si="131"/>
        <v/>
      </c>
      <c r="MJ23" s="4" t="str">
        <f t="shared" si="132"/>
        <v/>
      </c>
      <c r="MK23" s="4" t="str">
        <f t="shared" si="133"/>
        <v/>
      </c>
      <c r="ML23" s="4" t="str">
        <f t="shared" si="134"/>
        <v/>
      </c>
      <c r="MM23" s="4" t="str">
        <f t="shared" si="135"/>
        <v/>
      </c>
      <c r="MN23" s="4" t="str">
        <f t="shared" si="136"/>
        <v/>
      </c>
      <c r="MO23" s="4" t="str">
        <f t="shared" si="137"/>
        <v/>
      </c>
      <c r="MP23" s="4" t="str">
        <f t="shared" si="138"/>
        <v/>
      </c>
      <c r="MQ23" s="4" t="str">
        <f t="shared" si="139"/>
        <v/>
      </c>
      <c r="MR23" s="4" t="str">
        <f t="shared" si="140"/>
        <v/>
      </c>
      <c r="MS23" s="4" t="str">
        <f t="shared" si="141"/>
        <v/>
      </c>
      <c r="MT23" s="4" t="str">
        <f t="shared" si="142"/>
        <v/>
      </c>
      <c r="MU23" s="4" t="str">
        <f t="shared" si="143"/>
        <v/>
      </c>
      <c r="MV23" s="4" t="str">
        <f t="shared" si="144"/>
        <v/>
      </c>
      <c r="MW23" s="4" t="str">
        <f t="shared" si="145"/>
        <v/>
      </c>
      <c r="MX23" s="4" t="str">
        <f t="shared" si="146"/>
        <v/>
      </c>
      <c r="MY23" s="4" t="str">
        <f t="shared" si="147"/>
        <v/>
      </c>
      <c r="MZ23" s="4" t="str">
        <f t="shared" si="148"/>
        <v/>
      </c>
      <c r="NA23" s="4" t="str">
        <f t="shared" si="149"/>
        <v/>
      </c>
      <c r="NB23" s="4" t="str">
        <f t="shared" si="150"/>
        <v/>
      </c>
      <c r="NC23" s="4" t="str">
        <f t="shared" si="151"/>
        <v/>
      </c>
      <c r="ND23" s="4" t="str">
        <f t="shared" si="152"/>
        <v/>
      </c>
      <c r="NE23" s="4" t="str">
        <f t="shared" si="153"/>
        <v/>
      </c>
      <c r="NF23" s="4" t="str">
        <f t="shared" si="154"/>
        <v/>
      </c>
      <c r="NG23" s="4" t="str">
        <f t="shared" si="155"/>
        <v/>
      </c>
      <c r="NH23" s="4" t="str">
        <f t="shared" si="156"/>
        <v/>
      </c>
      <c r="NI23" s="4" t="str">
        <f t="shared" si="157"/>
        <v/>
      </c>
      <c r="NJ23" s="4" t="str">
        <f t="shared" si="158"/>
        <v/>
      </c>
      <c r="NK23" s="4" t="str">
        <f t="shared" si="159"/>
        <v/>
      </c>
      <c r="NL23" s="4" t="str">
        <f t="shared" si="160"/>
        <v/>
      </c>
      <c r="NM23" s="4" t="str">
        <f t="shared" si="161"/>
        <v/>
      </c>
      <c r="NN23" s="4" t="str">
        <f t="shared" si="162"/>
        <v/>
      </c>
      <c r="NO23" s="4" t="str">
        <f t="shared" si="163"/>
        <v/>
      </c>
      <c r="NP23" s="4" t="str">
        <f t="shared" si="164"/>
        <v/>
      </c>
      <c r="NQ23" s="4" t="str">
        <f t="shared" si="165"/>
        <v/>
      </c>
      <c r="NR23" s="4" t="str">
        <f t="shared" si="166"/>
        <v/>
      </c>
      <c r="NS23" s="4" t="str">
        <f t="shared" si="167"/>
        <v/>
      </c>
      <c r="NT23" s="4" t="str">
        <f t="shared" si="168"/>
        <v/>
      </c>
      <c r="NU23" s="4" t="str">
        <f t="shared" si="169"/>
        <v/>
      </c>
      <c r="NV23" s="4" t="str">
        <f t="shared" si="170"/>
        <v/>
      </c>
      <c r="NW23" s="4" t="str">
        <f t="shared" si="171"/>
        <v/>
      </c>
      <c r="NX23" s="4" t="str">
        <f t="shared" si="172"/>
        <v/>
      </c>
      <c r="NY23" s="4" t="str">
        <f t="shared" si="173"/>
        <v/>
      </c>
      <c r="NZ23" s="4" t="str">
        <f t="shared" si="174"/>
        <v/>
      </c>
      <c r="OA23" s="4" t="str">
        <f t="shared" si="175"/>
        <v/>
      </c>
      <c r="OB23" s="4" t="str">
        <f t="shared" si="176"/>
        <v/>
      </c>
      <c r="OC23" s="4" t="str">
        <f t="shared" si="177"/>
        <v/>
      </c>
      <c r="OD23" s="4" t="str">
        <f t="shared" si="178"/>
        <v/>
      </c>
      <c r="OE23" s="4" t="str">
        <f t="shared" si="179"/>
        <v/>
      </c>
      <c r="OF23" s="4" t="str">
        <f t="shared" si="180"/>
        <v/>
      </c>
      <c r="OG23" s="4" t="str">
        <f t="shared" si="181"/>
        <v/>
      </c>
      <c r="OH23" s="4" t="str">
        <f t="shared" si="182"/>
        <v/>
      </c>
      <c r="OI23" s="4" t="str">
        <f t="shared" si="183"/>
        <v/>
      </c>
      <c r="OJ23" s="4" t="str">
        <f t="shared" si="184"/>
        <v/>
      </c>
      <c r="OK23" s="4" t="str">
        <f t="shared" si="185"/>
        <v/>
      </c>
      <c r="OL23" s="4" t="str">
        <f t="shared" si="186"/>
        <v/>
      </c>
      <c r="OM23" s="4" t="str">
        <f t="shared" si="187"/>
        <v/>
      </c>
      <c r="ON23" s="4" t="str">
        <f t="shared" si="188"/>
        <v/>
      </c>
      <c r="OO23" s="4" t="str">
        <f t="shared" si="189"/>
        <v/>
      </c>
      <c r="OP23" s="4" t="str">
        <f t="shared" si="190"/>
        <v/>
      </c>
      <c r="OQ23" s="4" t="str">
        <f t="shared" si="191"/>
        <v/>
      </c>
      <c r="OR23" s="4" t="str">
        <f t="shared" si="192"/>
        <v/>
      </c>
      <c r="OS23" s="4" t="str">
        <f t="shared" si="193"/>
        <v/>
      </c>
      <c r="OT23" s="4" t="str">
        <f t="shared" si="194"/>
        <v/>
      </c>
      <c r="OU23" s="4" t="str">
        <f t="shared" si="195"/>
        <v/>
      </c>
      <c r="OV23" s="4" t="str">
        <f t="shared" si="196"/>
        <v/>
      </c>
      <c r="OW23" s="4" t="str">
        <f t="shared" si="197"/>
        <v/>
      </c>
      <c r="OX23" s="4" t="str">
        <f t="shared" si="198"/>
        <v/>
      </c>
      <c r="OY23" s="4" t="str">
        <f t="shared" si="199"/>
        <v/>
      </c>
      <c r="OZ23" s="4" t="str">
        <f t="shared" si="200"/>
        <v/>
      </c>
      <c r="PA23" s="4" t="str">
        <f t="shared" si="201"/>
        <v/>
      </c>
      <c r="PB23" s="4" t="str">
        <f t="shared" si="202"/>
        <v/>
      </c>
      <c r="PC23" s="4" t="str">
        <f t="shared" si="203"/>
        <v/>
      </c>
      <c r="PD23" s="4" t="str">
        <f t="shared" si="204"/>
        <v/>
      </c>
      <c r="PE23" s="4" t="str">
        <f t="shared" si="205"/>
        <v/>
      </c>
      <c r="PF23" s="4" t="str">
        <f t="shared" si="206"/>
        <v/>
      </c>
      <c r="PG23" s="4" t="str">
        <f t="shared" si="207"/>
        <v/>
      </c>
      <c r="PH23" s="4" t="str">
        <f t="shared" si="208"/>
        <v/>
      </c>
      <c r="PI23" s="4" t="str">
        <f t="shared" si="209"/>
        <v/>
      </c>
      <c r="PJ23" s="4" t="str">
        <f t="shared" si="210"/>
        <v/>
      </c>
      <c r="PK23" s="4" t="str">
        <f t="shared" si="211"/>
        <v/>
      </c>
      <c r="PL23" s="4" t="str">
        <f t="shared" si="212"/>
        <v/>
      </c>
      <c r="PM23" s="4" t="str">
        <f t="shared" si="213"/>
        <v/>
      </c>
      <c r="PN23" s="4" t="str">
        <f t="shared" si="214"/>
        <v/>
      </c>
      <c r="PO23" s="4" t="str">
        <f t="shared" si="215"/>
        <v/>
      </c>
      <c r="PP23" s="4" t="str">
        <f t="shared" si="216"/>
        <v/>
      </c>
      <c r="PQ23" s="4" t="str">
        <f t="shared" si="217"/>
        <v/>
      </c>
      <c r="PR23" s="4" t="str">
        <f t="shared" si="218"/>
        <v/>
      </c>
      <c r="PS23" s="4" t="str">
        <f t="shared" si="219"/>
        <v/>
      </c>
    </row>
    <row r="24">
      <c r="HI24" s="4" t="str">
        <f t="shared" si="2"/>
        <v/>
      </c>
      <c r="HJ24" s="4" t="str">
        <f t="shared" si="3"/>
        <v/>
      </c>
      <c r="HK24" s="4" t="str">
        <f t="shared" si="4"/>
        <v/>
      </c>
      <c r="HL24" s="4" t="str">
        <f t="shared" si="5"/>
        <v/>
      </c>
      <c r="HM24" s="4" t="str">
        <f t="shared" si="6"/>
        <v/>
      </c>
      <c r="HN24" s="4" t="str">
        <f t="shared" si="7"/>
        <v/>
      </c>
      <c r="HO24" s="4" t="str">
        <f t="shared" si="8"/>
        <v/>
      </c>
      <c r="HP24" s="4" t="str">
        <f t="shared" si="9"/>
        <v/>
      </c>
      <c r="HQ24" s="4" t="str">
        <f t="shared" si="10"/>
        <v/>
      </c>
      <c r="HR24" s="4" t="str">
        <f t="shared" si="11"/>
        <v/>
      </c>
      <c r="HS24" s="4" t="str">
        <f t="shared" si="12"/>
        <v/>
      </c>
      <c r="HT24" s="4" t="str">
        <f t="shared" si="13"/>
        <v/>
      </c>
      <c r="HU24" s="4" t="str">
        <f t="shared" si="14"/>
        <v/>
      </c>
      <c r="HV24" s="4" t="str">
        <f t="shared" si="15"/>
        <v/>
      </c>
      <c r="HW24" s="4" t="str">
        <f t="shared" si="16"/>
        <v/>
      </c>
      <c r="HX24" s="4" t="str">
        <f t="shared" si="17"/>
        <v/>
      </c>
      <c r="HY24" s="4" t="str">
        <f t="shared" si="18"/>
        <v/>
      </c>
      <c r="HZ24" s="4" t="str">
        <f t="shared" si="19"/>
        <v/>
      </c>
      <c r="IA24" s="4" t="str">
        <f t="shared" si="20"/>
        <v/>
      </c>
      <c r="IB24" s="4" t="str">
        <f t="shared" si="21"/>
        <v/>
      </c>
      <c r="IC24" s="4" t="str">
        <f t="shared" si="22"/>
        <v/>
      </c>
      <c r="ID24" s="4" t="str">
        <f t="shared" si="23"/>
        <v/>
      </c>
      <c r="IE24" s="4" t="str">
        <f t="shared" si="24"/>
        <v/>
      </c>
      <c r="IF24" s="4" t="str">
        <f t="shared" si="25"/>
        <v/>
      </c>
      <c r="IG24" s="4" t="str">
        <f t="shared" si="26"/>
        <v/>
      </c>
      <c r="IH24" s="4" t="str">
        <f t="shared" si="27"/>
        <v/>
      </c>
      <c r="II24" s="4" t="str">
        <f t="shared" si="28"/>
        <v/>
      </c>
      <c r="IJ24" s="4" t="str">
        <f t="shared" si="29"/>
        <v/>
      </c>
      <c r="IK24" s="4" t="str">
        <f t="shared" si="30"/>
        <v/>
      </c>
      <c r="IL24" s="4" t="str">
        <f t="shared" si="31"/>
        <v/>
      </c>
      <c r="IM24" s="4" t="str">
        <f t="shared" si="32"/>
        <v/>
      </c>
      <c r="IN24" s="4" t="str">
        <f t="shared" si="33"/>
        <v/>
      </c>
      <c r="IO24" s="4" t="str">
        <f t="shared" si="34"/>
        <v/>
      </c>
      <c r="IP24" s="4" t="str">
        <f t="shared" si="35"/>
        <v/>
      </c>
      <c r="IQ24" s="4" t="str">
        <f t="shared" si="36"/>
        <v/>
      </c>
      <c r="IR24" s="4" t="str">
        <f t="shared" si="37"/>
        <v/>
      </c>
      <c r="IS24" s="4" t="str">
        <f t="shared" si="38"/>
        <v/>
      </c>
      <c r="IT24" s="4" t="str">
        <f t="shared" si="39"/>
        <v/>
      </c>
      <c r="IU24" s="4" t="str">
        <f t="shared" si="40"/>
        <v/>
      </c>
      <c r="IV24" s="4" t="str">
        <f t="shared" si="41"/>
        <v/>
      </c>
      <c r="IW24" s="4" t="str">
        <f t="shared" si="42"/>
        <v/>
      </c>
      <c r="IX24" s="4" t="str">
        <f t="shared" si="43"/>
        <v/>
      </c>
      <c r="IY24" s="4" t="str">
        <f t="shared" si="44"/>
        <v/>
      </c>
      <c r="IZ24" s="4" t="str">
        <f t="shared" si="45"/>
        <v/>
      </c>
      <c r="JA24" s="4" t="str">
        <f t="shared" ref="JA24:JB24" si="240">if(ISERROR(SEARCH("Higher Education",BB24)),"","810")</f>
        <v/>
      </c>
      <c r="JB24" s="4" t="str">
        <f t="shared" si="240"/>
        <v/>
      </c>
      <c r="JC24" s="4" t="str">
        <f t="shared" si="47"/>
        <v/>
      </c>
      <c r="JD24" s="4" t="str">
        <f t="shared" si="48"/>
        <v/>
      </c>
      <c r="JE24" s="4" t="str">
        <f t="shared" si="49"/>
        <v/>
      </c>
      <c r="JF24" s="4" t="str">
        <f t="shared" si="50"/>
        <v/>
      </c>
      <c r="JG24" s="4" t="str">
        <f t="shared" si="51"/>
        <v/>
      </c>
      <c r="JH24" s="4" t="str">
        <f t="shared" si="52"/>
        <v/>
      </c>
      <c r="JI24" s="4" t="str">
        <f t="shared" si="53"/>
        <v/>
      </c>
      <c r="JJ24" s="4" t="str">
        <f t="shared" si="54"/>
        <v/>
      </c>
      <c r="JK24" s="4" t="str">
        <f t="shared" si="55"/>
        <v/>
      </c>
      <c r="JL24" s="4" t="str">
        <f t="shared" si="56"/>
        <v/>
      </c>
      <c r="JM24" s="4" t="str">
        <f t="shared" si="57"/>
        <v/>
      </c>
      <c r="JN24" s="4" t="str">
        <f t="shared" si="58"/>
        <v/>
      </c>
      <c r="JO24" s="4" t="str">
        <f t="shared" si="59"/>
        <v/>
      </c>
      <c r="JP24" s="4" t="str">
        <f t="shared" si="60"/>
        <v/>
      </c>
      <c r="JQ24" s="4" t="str">
        <f t="shared" si="61"/>
        <v/>
      </c>
      <c r="JR24" s="4" t="str">
        <f t="shared" si="62"/>
        <v/>
      </c>
      <c r="JS24" s="4" t="str">
        <f t="shared" si="63"/>
        <v/>
      </c>
      <c r="JT24" s="4" t="str">
        <f t="shared" si="64"/>
        <v/>
      </c>
      <c r="JU24" s="4" t="str">
        <f t="shared" si="65"/>
        <v/>
      </c>
      <c r="JV24" s="4" t="str">
        <f t="shared" si="66"/>
        <v/>
      </c>
      <c r="JW24" s="4" t="str">
        <f t="shared" si="67"/>
        <v/>
      </c>
      <c r="JX24" s="4" t="str">
        <f t="shared" si="68"/>
        <v/>
      </c>
      <c r="JY24" s="4" t="str">
        <f t="shared" si="69"/>
        <v/>
      </c>
      <c r="JZ24" s="4" t="str">
        <f t="shared" si="70"/>
        <v/>
      </c>
      <c r="KA24" s="4" t="str">
        <f t="shared" si="71"/>
        <v/>
      </c>
      <c r="KB24" s="4" t="str">
        <f t="shared" si="72"/>
        <v/>
      </c>
      <c r="KC24" s="4" t="str">
        <f t="shared" si="73"/>
        <v/>
      </c>
      <c r="KD24" s="4" t="str">
        <f t="shared" si="74"/>
        <v/>
      </c>
      <c r="KE24" s="4" t="str">
        <f t="shared" si="75"/>
        <v/>
      </c>
      <c r="KF24" s="4" t="str">
        <f t="shared" si="76"/>
        <v/>
      </c>
      <c r="KG24" s="4" t="str">
        <f t="shared" si="77"/>
        <v/>
      </c>
      <c r="KH24" s="4" t="str">
        <f t="shared" si="78"/>
        <v/>
      </c>
      <c r="KI24" s="4" t="str">
        <f t="shared" si="79"/>
        <v/>
      </c>
      <c r="KJ24" s="4" t="str">
        <f t="shared" si="80"/>
        <v/>
      </c>
      <c r="KK24" s="4" t="str">
        <f t="shared" si="81"/>
        <v/>
      </c>
      <c r="KL24" s="4" t="str">
        <f t="shared" si="82"/>
        <v/>
      </c>
      <c r="KM24" s="4" t="str">
        <f t="shared" si="83"/>
        <v/>
      </c>
      <c r="KN24" s="4" t="str">
        <f t="shared" si="84"/>
        <v/>
      </c>
      <c r="KO24" s="4" t="str">
        <f t="shared" si="85"/>
        <v/>
      </c>
      <c r="KP24" s="4" t="str">
        <f t="shared" si="86"/>
        <v/>
      </c>
      <c r="KQ24" s="4" t="str">
        <f t="shared" si="87"/>
        <v/>
      </c>
      <c r="KR24" s="4" t="str">
        <f t="shared" si="88"/>
        <v/>
      </c>
      <c r="KS24" s="4" t="str">
        <f t="shared" si="89"/>
        <v/>
      </c>
      <c r="KT24" s="4" t="str">
        <f t="shared" si="90"/>
        <v/>
      </c>
      <c r="KU24" s="4" t="str">
        <f t="shared" si="91"/>
        <v/>
      </c>
      <c r="KV24" s="4" t="str">
        <f t="shared" si="92"/>
        <v/>
      </c>
      <c r="KW24" s="4" t="str">
        <f t="shared" si="93"/>
        <v/>
      </c>
      <c r="KX24" s="4" t="str">
        <f t="shared" si="94"/>
        <v/>
      </c>
      <c r="KY24" s="4" t="str">
        <f t="shared" si="95"/>
        <v/>
      </c>
      <c r="KZ24" s="4" t="str">
        <f t="shared" si="96"/>
        <v/>
      </c>
      <c r="LA24" s="4" t="str">
        <f t="shared" si="97"/>
        <v/>
      </c>
      <c r="LB24" s="4" t="str">
        <f t="shared" si="98"/>
        <v/>
      </c>
      <c r="LC24" s="4" t="str">
        <f t="shared" si="99"/>
        <v/>
      </c>
      <c r="LD24" s="4" t="str">
        <f t="shared" si="100"/>
        <v/>
      </c>
      <c r="LE24" s="4" t="str">
        <f t="shared" si="101"/>
        <v/>
      </c>
      <c r="LF24" s="4" t="str">
        <f t="shared" si="102"/>
        <v/>
      </c>
      <c r="LG24" s="4" t="str">
        <f t="shared" si="103"/>
        <v/>
      </c>
      <c r="LH24" s="4" t="str">
        <f t="shared" si="104"/>
        <v/>
      </c>
      <c r="LI24" s="4" t="str">
        <f t="shared" si="105"/>
        <v/>
      </c>
      <c r="LJ24" s="4" t="str">
        <f t="shared" si="106"/>
        <v/>
      </c>
      <c r="LK24" s="4" t="str">
        <f t="shared" si="107"/>
        <v/>
      </c>
      <c r="LL24" s="4" t="str">
        <f t="shared" si="108"/>
        <v/>
      </c>
      <c r="LM24" s="4" t="str">
        <f t="shared" si="109"/>
        <v/>
      </c>
      <c r="LN24" s="4" t="str">
        <f t="shared" si="110"/>
        <v/>
      </c>
      <c r="LO24" s="4" t="str">
        <f t="shared" si="111"/>
        <v/>
      </c>
      <c r="LP24" s="4" t="str">
        <f t="shared" si="112"/>
        <v/>
      </c>
      <c r="LQ24" s="4" t="str">
        <f t="shared" si="113"/>
        <v/>
      </c>
      <c r="LR24" s="4" t="str">
        <f t="shared" si="114"/>
        <v/>
      </c>
      <c r="LS24" s="4" t="str">
        <f t="shared" si="115"/>
        <v/>
      </c>
      <c r="LT24" s="4" t="str">
        <f t="shared" si="116"/>
        <v/>
      </c>
      <c r="LU24" s="4" t="str">
        <f t="shared" si="117"/>
        <v/>
      </c>
      <c r="LV24" s="4" t="str">
        <f t="shared" si="118"/>
        <v/>
      </c>
      <c r="LW24" s="4" t="str">
        <f t="shared" si="119"/>
        <v/>
      </c>
      <c r="LX24" s="4" t="str">
        <f t="shared" si="120"/>
        <v/>
      </c>
      <c r="LY24" s="4" t="str">
        <f t="shared" si="121"/>
        <v/>
      </c>
      <c r="LZ24" s="4" t="str">
        <f t="shared" si="122"/>
        <v/>
      </c>
      <c r="MA24" s="4" t="str">
        <f t="shared" si="123"/>
        <v/>
      </c>
      <c r="MB24" s="4" t="str">
        <f t="shared" si="124"/>
        <v/>
      </c>
      <c r="MC24" s="4" t="str">
        <f t="shared" si="125"/>
        <v/>
      </c>
      <c r="MD24" s="4" t="str">
        <f t="shared" si="126"/>
        <v/>
      </c>
      <c r="ME24" s="4" t="str">
        <f t="shared" si="127"/>
        <v/>
      </c>
      <c r="MF24" s="4" t="str">
        <f t="shared" si="128"/>
        <v/>
      </c>
      <c r="MG24" s="4" t="str">
        <f t="shared" si="129"/>
        <v/>
      </c>
      <c r="MH24" s="4" t="str">
        <f t="shared" si="130"/>
        <v/>
      </c>
      <c r="MI24" s="4" t="str">
        <f t="shared" si="131"/>
        <v/>
      </c>
      <c r="MJ24" s="4" t="str">
        <f t="shared" si="132"/>
        <v/>
      </c>
      <c r="MK24" s="4" t="str">
        <f t="shared" si="133"/>
        <v/>
      </c>
      <c r="ML24" s="4" t="str">
        <f t="shared" si="134"/>
        <v/>
      </c>
      <c r="MM24" s="4" t="str">
        <f t="shared" si="135"/>
        <v/>
      </c>
      <c r="MN24" s="4" t="str">
        <f t="shared" si="136"/>
        <v/>
      </c>
      <c r="MO24" s="4" t="str">
        <f t="shared" si="137"/>
        <v/>
      </c>
      <c r="MP24" s="4" t="str">
        <f t="shared" si="138"/>
        <v/>
      </c>
      <c r="MQ24" s="4" t="str">
        <f t="shared" si="139"/>
        <v/>
      </c>
      <c r="MR24" s="4" t="str">
        <f t="shared" si="140"/>
        <v/>
      </c>
      <c r="MS24" s="4" t="str">
        <f t="shared" si="141"/>
        <v/>
      </c>
      <c r="MT24" s="4" t="str">
        <f t="shared" si="142"/>
        <v/>
      </c>
      <c r="MU24" s="4" t="str">
        <f t="shared" si="143"/>
        <v/>
      </c>
      <c r="MV24" s="4" t="str">
        <f t="shared" si="144"/>
        <v/>
      </c>
      <c r="MW24" s="4" t="str">
        <f t="shared" si="145"/>
        <v/>
      </c>
      <c r="MX24" s="4" t="str">
        <f t="shared" si="146"/>
        <v/>
      </c>
      <c r="MY24" s="4" t="str">
        <f t="shared" si="147"/>
        <v/>
      </c>
      <c r="MZ24" s="4" t="str">
        <f t="shared" si="148"/>
        <v/>
      </c>
      <c r="NA24" s="4" t="str">
        <f t="shared" si="149"/>
        <v/>
      </c>
      <c r="NB24" s="4" t="str">
        <f t="shared" si="150"/>
        <v/>
      </c>
      <c r="NC24" s="4" t="str">
        <f t="shared" si="151"/>
        <v/>
      </c>
      <c r="ND24" s="4" t="str">
        <f t="shared" si="152"/>
        <v/>
      </c>
      <c r="NE24" s="4" t="str">
        <f t="shared" si="153"/>
        <v/>
      </c>
      <c r="NF24" s="4" t="str">
        <f t="shared" si="154"/>
        <v/>
      </c>
      <c r="NG24" s="4" t="str">
        <f t="shared" si="155"/>
        <v/>
      </c>
      <c r="NH24" s="4" t="str">
        <f t="shared" si="156"/>
        <v/>
      </c>
      <c r="NI24" s="4" t="str">
        <f t="shared" si="157"/>
        <v/>
      </c>
      <c r="NJ24" s="4" t="str">
        <f t="shared" si="158"/>
        <v/>
      </c>
      <c r="NK24" s="4" t="str">
        <f t="shared" si="159"/>
        <v/>
      </c>
      <c r="NL24" s="4" t="str">
        <f t="shared" si="160"/>
        <v/>
      </c>
      <c r="NM24" s="4" t="str">
        <f t="shared" si="161"/>
        <v/>
      </c>
      <c r="NN24" s="4" t="str">
        <f t="shared" si="162"/>
        <v/>
      </c>
      <c r="NO24" s="4" t="str">
        <f t="shared" si="163"/>
        <v/>
      </c>
      <c r="NP24" s="4" t="str">
        <f t="shared" si="164"/>
        <v/>
      </c>
      <c r="NQ24" s="4" t="str">
        <f t="shared" si="165"/>
        <v/>
      </c>
      <c r="NR24" s="4" t="str">
        <f t="shared" si="166"/>
        <v/>
      </c>
      <c r="NS24" s="4" t="str">
        <f t="shared" si="167"/>
        <v/>
      </c>
      <c r="NT24" s="4" t="str">
        <f t="shared" si="168"/>
        <v/>
      </c>
      <c r="NU24" s="4" t="str">
        <f t="shared" si="169"/>
        <v/>
      </c>
      <c r="NV24" s="4" t="str">
        <f t="shared" si="170"/>
        <v/>
      </c>
      <c r="NW24" s="4" t="str">
        <f t="shared" si="171"/>
        <v/>
      </c>
      <c r="NX24" s="4" t="str">
        <f t="shared" si="172"/>
        <v/>
      </c>
      <c r="NY24" s="4" t="str">
        <f t="shared" si="173"/>
        <v/>
      </c>
      <c r="NZ24" s="4" t="str">
        <f t="shared" si="174"/>
        <v/>
      </c>
      <c r="OA24" s="4" t="str">
        <f t="shared" si="175"/>
        <v/>
      </c>
      <c r="OB24" s="4" t="str">
        <f t="shared" si="176"/>
        <v/>
      </c>
      <c r="OC24" s="4" t="str">
        <f t="shared" si="177"/>
        <v/>
      </c>
      <c r="OD24" s="4" t="str">
        <f t="shared" si="178"/>
        <v/>
      </c>
      <c r="OE24" s="4" t="str">
        <f t="shared" si="179"/>
        <v/>
      </c>
      <c r="OF24" s="4" t="str">
        <f t="shared" si="180"/>
        <v/>
      </c>
      <c r="OG24" s="4" t="str">
        <f t="shared" si="181"/>
        <v/>
      </c>
      <c r="OH24" s="4" t="str">
        <f t="shared" si="182"/>
        <v/>
      </c>
      <c r="OI24" s="4" t="str">
        <f t="shared" si="183"/>
        <v/>
      </c>
      <c r="OJ24" s="4" t="str">
        <f t="shared" si="184"/>
        <v/>
      </c>
      <c r="OK24" s="4" t="str">
        <f t="shared" si="185"/>
        <v/>
      </c>
      <c r="OL24" s="4" t="str">
        <f t="shared" si="186"/>
        <v/>
      </c>
      <c r="OM24" s="4" t="str">
        <f t="shared" si="187"/>
        <v/>
      </c>
      <c r="ON24" s="4" t="str">
        <f t="shared" si="188"/>
        <v/>
      </c>
      <c r="OO24" s="4" t="str">
        <f t="shared" si="189"/>
        <v/>
      </c>
      <c r="OP24" s="4" t="str">
        <f t="shared" si="190"/>
        <v/>
      </c>
      <c r="OQ24" s="4" t="str">
        <f t="shared" si="191"/>
        <v/>
      </c>
      <c r="OR24" s="4" t="str">
        <f t="shared" si="192"/>
        <v/>
      </c>
      <c r="OS24" s="4" t="str">
        <f t="shared" si="193"/>
        <v/>
      </c>
      <c r="OT24" s="4" t="str">
        <f t="shared" si="194"/>
        <v/>
      </c>
      <c r="OU24" s="4" t="str">
        <f t="shared" si="195"/>
        <v/>
      </c>
      <c r="OV24" s="4" t="str">
        <f t="shared" si="196"/>
        <v/>
      </c>
      <c r="OW24" s="4" t="str">
        <f t="shared" si="197"/>
        <v/>
      </c>
      <c r="OX24" s="4" t="str">
        <f t="shared" si="198"/>
        <v/>
      </c>
      <c r="OY24" s="4" t="str">
        <f t="shared" si="199"/>
        <v/>
      </c>
      <c r="OZ24" s="4" t="str">
        <f t="shared" si="200"/>
        <v/>
      </c>
      <c r="PA24" s="4" t="str">
        <f t="shared" si="201"/>
        <v/>
      </c>
      <c r="PB24" s="4" t="str">
        <f t="shared" si="202"/>
        <v/>
      </c>
      <c r="PC24" s="4" t="str">
        <f t="shared" si="203"/>
        <v/>
      </c>
      <c r="PD24" s="4" t="str">
        <f t="shared" si="204"/>
        <v/>
      </c>
      <c r="PE24" s="4" t="str">
        <f t="shared" si="205"/>
        <v/>
      </c>
      <c r="PF24" s="4" t="str">
        <f t="shared" si="206"/>
        <v/>
      </c>
      <c r="PG24" s="4" t="str">
        <f t="shared" si="207"/>
        <v/>
      </c>
      <c r="PH24" s="4" t="str">
        <f t="shared" si="208"/>
        <v/>
      </c>
      <c r="PI24" s="4" t="str">
        <f t="shared" si="209"/>
        <v/>
      </c>
      <c r="PJ24" s="4" t="str">
        <f t="shared" si="210"/>
        <v/>
      </c>
      <c r="PK24" s="4" t="str">
        <f t="shared" si="211"/>
        <v/>
      </c>
      <c r="PL24" s="4" t="str">
        <f t="shared" si="212"/>
        <v/>
      </c>
      <c r="PM24" s="4" t="str">
        <f t="shared" si="213"/>
        <v/>
      </c>
      <c r="PN24" s="4" t="str">
        <f t="shared" si="214"/>
        <v/>
      </c>
      <c r="PO24" s="4" t="str">
        <f t="shared" si="215"/>
        <v/>
      </c>
      <c r="PP24" s="4" t="str">
        <f t="shared" si="216"/>
        <v/>
      </c>
      <c r="PQ24" s="4" t="str">
        <f t="shared" si="217"/>
        <v/>
      </c>
      <c r="PR24" s="4" t="str">
        <f t="shared" si="218"/>
        <v/>
      </c>
      <c r="PS24" s="4" t="str">
        <f t="shared" si="219"/>
        <v/>
      </c>
    </row>
    <row r="25">
      <c r="HI25" s="4" t="str">
        <f t="shared" si="2"/>
        <v/>
      </c>
      <c r="HJ25" s="4" t="str">
        <f t="shared" si="3"/>
        <v/>
      </c>
      <c r="HK25" s="4" t="str">
        <f t="shared" si="4"/>
        <v/>
      </c>
      <c r="HL25" s="4" t="str">
        <f t="shared" si="5"/>
        <v/>
      </c>
      <c r="HM25" s="4" t="str">
        <f t="shared" si="6"/>
        <v/>
      </c>
      <c r="HN25" s="4" t="str">
        <f t="shared" si="7"/>
        <v/>
      </c>
      <c r="HO25" s="4" t="str">
        <f t="shared" si="8"/>
        <v/>
      </c>
      <c r="HP25" s="4" t="str">
        <f t="shared" si="9"/>
        <v/>
      </c>
      <c r="HQ25" s="4" t="str">
        <f t="shared" si="10"/>
        <v/>
      </c>
      <c r="HR25" s="4" t="str">
        <f t="shared" si="11"/>
        <v/>
      </c>
      <c r="HS25" s="4" t="str">
        <f t="shared" si="12"/>
        <v/>
      </c>
      <c r="HT25" s="4" t="str">
        <f t="shared" si="13"/>
        <v/>
      </c>
      <c r="HU25" s="4" t="str">
        <f t="shared" si="14"/>
        <v/>
      </c>
      <c r="HV25" s="4" t="str">
        <f t="shared" si="15"/>
        <v/>
      </c>
      <c r="HW25" s="4" t="str">
        <f t="shared" si="16"/>
        <v/>
      </c>
      <c r="HX25" s="4" t="str">
        <f t="shared" si="17"/>
        <v/>
      </c>
      <c r="HY25" s="4" t="str">
        <f t="shared" si="18"/>
        <v/>
      </c>
      <c r="HZ25" s="4" t="str">
        <f t="shared" si="19"/>
        <v/>
      </c>
      <c r="IA25" s="4" t="str">
        <f t="shared" si="20"/>
        <v/>
      </c>
      <c r="IB25" s="4" t="str">
        <f t="shared" si="21"/>
        <v/>
      </c>
      <c r="IC25" s="4" t="str">
        <f t="shared" si="22"/>
        <v/>
      </c>
      <c r="ID25" s="4" t="str">
        <f t="shared" si="23"/>
        <v/>
      </c>
      <c r="IE25" s="4" t="str">
        <f t="shared" si="24"/>
        <v/>
      </c>
      <c r="IF25" s="4" t="str">
        <f t="shared" si="25"/>
        <v/>
      </c>
      <c r="IG25" s="4" t="str">
        <f t="shared" si="26"/>
        <v/>
      </c>
      <c r="IH25" s="4" t="str">
        <f t="shared" si="27"/>
        <v/>
      </c>
      <c r="II25" s="4" t="str">
        <f t="shared" si="28"/>
        <v/>
      </c>
      <c r="IJ25" s="4" t="str">
        <f t="shared" si="29"/>
        <v/>
      </c>
      <c r="IK25" s="4" t="str">
        <f t="shared" si="30"/>
        <v/>
      </c>
      <c r="IL25" s="4" t="str">
        <f t="shared" si="31"/>
        <v/>
      </c>
      <c r="IM25" s="4" t="str">
        <f t="shared" si="32"/>
        <v/>
      </c>
      <c r="IN25" s="4" t="str">
        <f t="shared" si="33"/>
        <v/>
      </c>
      <c r="IO25" s="4" t="str">
        <f t="shared" si="34"/>
        <v/>
      </c>
      <c r="IP25" s="4" t="str">
        <f t="shared" si="35"/>
        <v/>
      </c>
      <c r="IQ25" s="4" t="str">
        <f t="shared" si="36"/>
        <v/>
      </c>
      <c r="IR25" s="4" t="str">
        <f t="shared" si="37"/>
        <v/>
      </c>
      <c r="IS25" s="4" t="str">
        <f t="shared" si="38"/>
        <v/>
      </c>
      <c r="IT25" s="4" t="str">
        <f t="shared" si="39"/>
        <v/>
      </c>
      <c r="IU25" s="4" t="str">
        <f t="shared" si="40"/>
        <v/>
      </c>
      <c r="IV25" s="4" t="str">
        <f t="shared" si="41"/>
        <v/>
      </c>
      <c r="IW25" s="4" t="str">
        <f t="shared" si="42"/>
        <v/>
      </c>
      <c r="IX25" s="4" t="str">
        <f t="shared" si="43"/>
        <v/>
      </c>
      <c r="IY25" s="4" t="str">
        <f t="shared" si="44"/>
        <v/>
      </c>
      <c r="IZ25" s="4" t="str">
        <f t="shared" si="45"/>
        <v/>
      </c>
      <c r="JA25" s="4" t="str">
        <f t="shared" ref="JA25:JB25" si="241">if(ISERROR(SEARCH("Higher Education",BB25)),"","810")</f>
        <v/>
      </c>
      <c r="JB25" s="4" t="str">
        <f t="shared" si="241"/>
        <v/>
      </c>
      <c r="JC25" s="4" t="str">
        <f t="shared" si="47"/>
        <v/>
      </c>
      <c r="JD25" s="4" t="str">
        <f t="shared" si="48"/>
        <v/>
      </c>
      <c r="JE25" s="4" t="str">
        <f t="shared" si="49"/>
        <v/>
      </c>
      <c r="JF25" s="4" t="str">
        <f t="shared" si="50"/>
        <v/>
      </c>
      <c r="JG25" s="4" t="str">
        <f t="shared" si="51"/>
        <v/>
      </c>
      <c r="JH25" s="4" t="str">
        <f t="shared" si="52"/>
        <v/>
      </c>
      <c r="JI25" s="4" t="str">
        <f t="shared" si="53"/>
        <v/>
      </c>
      <c r="JJ25" s="4" t="str">
        <f t="shared" si="54"/>
        <v/>
      </c>
      <c r="JK25" s="4" t="str">
        <f t="shared" si="55"/>
        <v/>
      </c>
      <c r="JL25" s="4" t="str">
        <f t="shared" si="56"/>
        <v/>
      </c>
      <c r="JM25" s="4" t="str">
        <f t="shared" si="57"/>
        <v/>
      </c>
      <c r="JN25" s="4" t="str">
        <f t="shared" si="58"/>
        <v/>
      </c>
      <c r="JO25" s="4" t="str">
        <f t="shared" si="59"/>
        <v/>
      </c>
      <c r="JP25" s="4" t="str">
        <f t="shared" si="60"/>
        <v/>
      </c>
      <c r="JQ25" s="4" t="str">
        <f t="shared" si="61"/>
        <v/>
      </c>
      <c r="JR25" s="4" t="str">
        <f t="shared" si="62"/>
        <v/>
      </c>
      <c r="JS25" s="4" t="str">
        <f t="shared" si="63"/>
        <v/>
      </c>
      <c r="JT25" s="4" t="str">
        <f t="shared" si="64"/>
        <v/>
      </c>
      <c r="JU25" s="4" t="str">
        <f t="shared" si="65"/>
        <v/>
      </c>
      <c r="JV25" s="4" t="str">
        <f t="shared" si="66"/>
        <v/>
      </c>
      <c r="JW25" s="4" t="str">
        <f t="shared" si="67"/>
        <v/>
      </c>
      <c r="JX25" s="4" t="str">
        <f t="shared" si="68"/>
        <v/>
      </c>
      <c r="JY25" s="4" t="str">
        <f t="shared" si="69"/>
        <v/>
      </c>
      <c r="JZ25" s="4" t="str">
        <f t="shared" si="70"/>
        <v/>
      </c>
      <c r="KA25" s="4" t="str">
        <f t="shared" si="71"/>
        <v/>
      </c>
      <c r="KB25" s="4" t="str">
        <f t="shared" si="72"/>
        <v/>
      </c>
      <c r="KC25" s="4" t="str">
        <f t="shared" si="73"/>
        <v/>
      </c>
      <c r="KD25" s="4" t="str">
        <f t="shared" si="74"/>
        <v/>
      </c>
      <c r="KE25" s="4" t="str">
        <f t="shared" si="75"/>
        <v/>
      </c>
      <c r="KF25" s="4" t="str">
        <f t="shared" si="76"/>
        <v/>
      </c>
      <c r="KG25" s="4" t="str">
        <f t="shared" si="77"/>
        <v/>
      </c>
      <c r="KH25" s="4" t="str">
        <f t="shared" si="78"/>
        <v/>
      </c>
      <c r="KI25" s="4" t="str">
        <f t="shared" si="79"/>
        <v/>
      </c>
      <c r="KJ25" s="4" t="str">
        <f t="shared" si="80"/>
        <v/>
      </c>
      <c r="KK25" s="4" t="str">
        <f t="shared" si="81"/>
        <v/>
      </c>
      <c r="KL25" s="4" t="str">
        <f t="shared" si="82"/>
        <v/>
      </c>
      <c r="KM25" s="4" t="str">
        <f t="shared" si="83"/>
        <v/>
      </c>
      <c r="KN25" s="4" t="str">
        <f t="shared" si="84"/>
        <v/>
      </c>
      <c r="KO25" s="4" t="str">
        <f t="shared" si="85"/>
        <v/>
      </c>
      <c r="KP25" s="4" t="str">
        <f t="shared" si="86"/>
        <v/>
      </c>
      <c r="KQ25" s="4" t="str">
        <f t="shared" si="87"/>
        <v/>
      </c>
      <c r="KR25" s="4" t="str">
        <f t="shared" si="88"/>
        <v/>
      </c>
      <c r="KS25" s="4" t="str">
        <f t="shared" si="89"/>
        <v/>
      </c>
      <c r="KT25" s="4" t="str">
        <f t="shared" si="90"/>
        <v/>
      </c>
      <c r="KU25" s="4" t="str">
        <f t="shared" si="91"/>
        <v/>
      </c>
      <c r="KV25" s="4" t="str">
        <f t="shared" si="92"/>
        <v/>
      </c>
      <c r="KW25" s="4" t="str">
        <f t="shared" si="93"/>
        <v/>
      </c>
      <c r="KX25" s="4" t="str">
        <f t="shared" si="94"/>
        <v/>
      </c>
      <c r="KY25" s="4" t="str">
        <f t="shared" si="95"/>
        <v/>
      </c>
      <c r="KZ25" s="4" t="str">
        <f t="shared" si="96"/>
        <v/>
      </c>
      <c r="LA25" s="4" t="str">
        <f t="shared" si="97"/>
        <v/>
      </c>
      <c r="LB25" s="4" t="str">
        <f t="shared" si="98"/>
        <v/>
      </c>
      <c r="LC25" s="4" t="str">
        <f t="shared" si="99"/>
        <v/>
      </c>
      <c r="LD25" s="4" t="str">
        <f t="shared" si="100"/>
        <v/>
      </c>
      <c r="LE25" s="4" t="str">
        <f t="shared" si="101"/>
        <v/>
      </c>
      <c r="LF25" s="4" t="str">
        <f t="shared" si="102"/>
        <v/>
      </c>
      <c r="LG25" s="4" t="str">
        <f t="shared" si="103"/>
        <v/>
      </c>
      <c r="LH25" s="4" t="str">
        <f t="shared" si="104"/>
        <v/>
      </c>
      <c r="LI25" s="4" t="str">
        <f t="shared" si="105"/>
        <v/>
      </c>
      <c r="LJ25" s="4" t="str">
        <f t="shared" si="106"/>
        <v/>
      </c>
      <c r="LK25" s="4" t="str">
        <f t="shared" si="107"/>
        <v/>
      </c>
      <c r="LL25" s="4" t="str">
        <f t="shared" si="108"/>
        <v/>
      </c>
      <c r="LM25" s="4" t="str">
        <f t="shared" si="109"/>
        <v/>
      </c>
      <c r="LN25" s="4" t="str">
        <f t="shared" si="110"/>
        <v/>
      </c>
      <c r="LO25" s="4" t="str">
        <f t="shared" si="111"/>
        <v/>
      </c>
      <c r="LP25" s="4" t="str">
        <f t="shared" si="112"/>
        <v/>
      </c>
      <c r="LQ25" s="4" t="str">
        <f t="shared" si="113"/>
        <v/>
      </c>
      <c r="LR25" s="4" t="str">
        <f t="shared" si="114"/>
        <v/>
      </c>
      <c r="LS25" s="4" t="str">
        <f t="shared" si="115"/>
        <v/>
      </c>
      <c r="LT25" s="4" t="str">
        <f t="shared" si="116"/>
        <v/>
      </c>
      <c r="LU25" s="4" t="str">
        <f t="shared" si="117"/>
        <v/>
      </c>
      <c r="LV25" s="4" t="str">
        <f t="shared" si="118"/>
        <v/>
      </c>
      <c r="LW25" s="4" t="str">
        <f t="shared" si="119"/>
        <v/>
      </c>
      <c r="LX25" s="4" t="str">
        <f t="shared" si="120"/>
        <v/>
      </c>
      <c r="LY25" s="4" t="str">
        <f t="shared" si="121"/>
        <v/>
      </c>
      <c r="LZ25" s="4" t="str">
        <f t="shared" si="122"/>
        <v/>
      </c>
      <c r="MA25" s="4" t="str">
        <f t="shared" si="123"/>
        <v/>
      </c>
      <c r="MB25" s="4" t="str">
        <f t="shared" si="124"/>
        <v/>
      </c>
      <c r="MC25" s="4" t="str">
        <f t="shared" si="125"/>
        <v/>
      </c>
      <c r="MD25" s="4" t="str">
        <f t="shared" si="126"/>
        <v/>
      </c>
      <c r="ME25" s="4" t="str">
        <f t="shared" si="127"/>
        <v/>
      </c>
      <c r="MF25" s="4" t="str">
        <f t="shared" si="128"/>
        <v/>
      </c>
      <c r="MG25" s="4" t="str">
        <f t="shared" si="129"/>
        <v/>
      </c>
      <c r="MH25" s="4" t="str">
        <f t="shared" si="130"/>
        <v/>
      </c>
      <c r="MI25" s="4" t="str">
        <f t="shared" si="131"/>
        <v/>
      </c>
      <c r="MJ25" s="4" t="str">
        <f t="shared" si="132"/>
        <v/>
      </c>
      <c r="MK25" s="4" t="str">
        <f t="shared" si="133"/>
        <v/>
      </c>
      <c r="ML25" s="4" t="str">
        <f t="shared" si="134"/>
        <v/>
      </c>
      <c r="MM25" s="4" t="str">
        <f t="shared" si="135"/>
        <v/>
      </c>
      <c r="MN25" s="4" t="str">
        <f t="shared" si="136"/>
        <v/>
      </c>
      <c r="MO25" s="4" t="str">
        <f t="shared" si="137"/>
        <v/>
      </c>
      <c r="MP25" s="4" t="str">
        <f t="shared" si="138"/>
        <v/>
      </c>
      <c r="MQ25" s="4" t="str">
        <f t="shared" si="139"/>
        <v/>
      </c>
      <c r="MR25" s="4" t="str">
        <f t="shared" si="140"/>
        <v/>
      </c>
      <c r="MS25" s="4" t="str">
        <f t="shared" si="141"/>
        <v/>
      </c>
      <c r="MT25" s="4" t="str">
        <f t="shared" si="142"/>
        <v/>
      </c>
      <c r="MU25" s="4" t="str">
        <f t="shared" si="143"/>
        <v/>
      </c>
      <c r="MV25" s="4" t="str">
        <f t="shared" si="144"/>
        <v/>
      </c>
      <c r="MW25" s="4" t="str">
        <f t="shared" si="145"/>
        <v/>
      </c>
      <c r="MX25" s="4" t="str">
        <f t="shared" si="146"/>
        <v/>
      </c>
      <c r="MY25" s="4" t="str">
        <f t="shared" si="147"/>
        <v/>
      </c>
      <c r="MZ25" s="4" t="str">
        <f t="shared" si="148"/>
        <v/>
      </c>
      <c r="NA25" s="4" t="str">
        <f t="shared" si="149"/>
        <v/>
      </c>
      <c r="NB25" s="4" t="str">
        <f t="shared" si="150"/>
        <v/>
      </c>
      <c r="NC25" s="4" t="str">
        <f t="shared" si="151"/>
        <v/>
      </c>
      <c r="ND25" s="4" t="str">
        <f t="shared" si="152"/>
        <v/>
      </c>
      <c r="NE25" s="4" t="str">
        <f t="shared" si="153"/>
        <v/>
      </c>
      <c r="NF25" s="4" t="str">
        <f t="shared" si="154"/>
        <v/>
      </c>
      <c r="NG25" s="4" t="str">
        <f t="shared" si="155"/>
        <v/>
      </c>
      <c r="NH25" s="4" t="str">
        <f t="shared" si="156"/>
        <v/>
      </c>
      <c r="NI25" s="4" t="str">
        <f t="shared" si="157"/>
        <v/>
      </c>
      <c r="NJ25" s="4" t="str">
        <f t="shared" si="158"/>
        <v/>
      </c>
      <c r="NK25" s="4" t="str">
        <f t="shared" si="159"/>
        <v/>
      </c>
      <c r="NL25" s="4" t="str">
        <f t="shared" si="160"/>
        <v/>
      </c>
      <c r="NM25" s="4" t="str">
        <f t="shared" si="161"/>
        <v/>
      </c>
      <c r="NN25" s="4" t="str">
        <f t="shared" si="162"/>
        <v/>
      </c>
      <c r="NO25" s="4" t="str">
        <f t="shared" si="163"/>
        <v/>
      </c>
      <c r="NP25" s="4" t="str">
        <f t="shared" si="164"/>
        <v/>
      </c>
      <c r="NQ25" s="4" t="str">
        <f t="shared" si="165"/>
        <v/>
      </c>
      <c r="NR25" s="4" t="str">
        <f t="shared" si="166"/>
        <v/>
      </c>
      <c r="NS25" s="4" t="str">
        <f t="shared" si="167"/>
        <v/>
      </c>
      <c r="NT25" s="4" t="str">
        <f t="shared" si="168"/>
        <v/>
      </c>
      <c r="NU25" s="4" t="str">
        <f t="shared" si="169"/>
        <v/>
      </c>
      <c r="NV25" s="4" t="str">
        <f t="shared" si="170"/>
        <v/>
      </c>
      <c r="NW25" s="4" t="str">
        <f t="shared" si="171"/>
        <v/>
      </c>
      <c r="NX25" s="4" t="str">
        <f t="shared" si="172"/>
        <v/>
      </c>
      <c r="NY25" s="4" t="str">
        <f t="shared" si="173"/>
        <v/>
      </c>
      <c r="NZ25" s="4" t="str">
        <f t="shared" si="174"/>
        <v/>
      </c>
      <c r="OA25" s="4" t="str">
        <f t="shared" si="175"/>
        <v/>
      </c>
      <c r="OB25" s="4" t="str">
        <f t="shared" si="176"/>
        <v/>
      </c>
      <c r="OC25" s="4" t="str">
        <f t="shared" si="177"/>
        <v/>
      </c>
      <c r="OD25" s="4" t="str">
        <f t="shared" si="178"/>
        <v/>
      </c>
      <c r="OE25" s="4" t="str">
        <f t="shared" si="179"/>
        <v/>
      </c>
      <c r="OF25" s="4" t="str">
        <f t="shared" si="180"/>
        <v/>
      </c>
      <c r="OG25" s="4" t="str">
        <f t="shared" si="181"/>
        <v/>
      </c>
      <c r="OH25" s="4" t="str">
        <f t="shared" si="182"/>
        <v/>
      </c>
      <c r="OI25" s="4" t="str">
        <f t="shared" si="183"/>
        <v/>
      </c>
      <c r="OJ25" s="4" t="str">
        <f t="shared" si="184"/>
        <v/>
      </c>
      <c r="OK25" s="4" t="str">
        <f t="shared" si="185"/>
        <v/>
      </c>
      <c r="OL25" s="4" t="str">
        <f t="shared" si="186"/>
        <v/>
      </c>
      <c r="OM25" s="4" t="str">
        <f t="shared" si="187"/>
        <v/>
      </c>
      <c r="ON25" s="4" t="str">
        <f t="shared" si="188"/>
        <v/>
      </c>
      <c r="OO25" s="4" t="str">
        <f t="shared" si="189"/>
        <v/>
      </c>
      <c r="OP25" s="4" t="str">
        <f t="shared" si="190"/>
        <v/>
      </c>
      <c r="OQ25" s="4" t="str">
        <f t="shared" si="191"/>
        <v/>
      </c>
      <c r="OR25" s="4" t="str">
        <f t="shared" si="192"/>
        <v/>
      </c>
      <c r="OS25" s="4" t="str">
        <f t="shared" si="193"/>
        <v/>
      </c>
      <c r="OT25" s="4" t="str">
        <f t="shared" si="194"/>
        <v/>
      </c>
      <c r="OU25" s="4" t="str">
        <f t="shared" si="195"/>
        <v/>
      </c>
      <c r="OV25" s="4" t="str">
        <f t="shared" si="196"/>
        <v/>
      </c>
      <c r="OW25" s="4" t="str">
        <f t="shared" si="197"/>
        <v/>
      </c>
      <c r="OX25" s="4" t="str">
        <f t="shared" si="198"/>
        <v/>
      </c>
      <c r="OY25" s="4" t="str">
        <f t="shared" si="199"/>
        <v/>
      </c>
      <c r="OZ25" s="4" t="str">
        <f t="shared" si="200"/>
        <v/>
      </c>
      <c r="PA25" s="4" t="str">
        <f t="shared" si="201"/>
        <v/>
      </c>
      <c r="PB25" s="4" t="str">
        <f t="shared" si="202"/>
        <v/>
      </c>
      <c r="PC25" s="4" t="str">
        <f t="shared" si="203"/>
        <v/>
      </c>
      <c r="PD25" s="4" t="str">
        <f t="shared" si="204"/>
        <v/>
      </c>
      <c r="PE25" s="4" t="str">
        <f t="shared" si="205"/>
        <v/>
      </c>
      <c r="PF25" s="4" t="str">
        <f t="shared" si="206"/>
        <v/>
      </c>
      <c r="PG25" s="4" t="str">
        <f t="shared" si="207"/>
        <v/>
      </c>
      <c r="PH25" s="4" t="str">
        <f t="shared" si="208"/>
        <v/>
      </c>
      <c r="PI25" s="4" t="str">
        <f t="shared" si="209"/>
        <v/>
      </c>
      <c r="PJ25" s="4" t="str">
        <f t="shared" si="210"/>
        <v/>
      </c>
      <c r="PK25" s="4" t="str">
        <f t="shared" si="211"/>
        <v/>
      </c>
      <c r="PL25" s="4" t="str">
        <f t="shared" si="212"/>
        <v/>
      </c>
      <c r="PM25" s="4" t="str">
        <f t="shared" si="213"/>
        <v/>
      </c>
      <c r="PN25" s="4" t="str">
        <f t="shared" si="214"/>
        <v/>
      </c>
      <c r="PO25" s="4" t="str">
        <f t="shared" si="215"/>
        <v/>
      </c>
      <c r="PP25" s="4" t="str">
        <f t="shared" si="216"/>
        <v/>
      </c>
      <c r="PQ25" s="4" t="str">
        <f t="shared" si="217"/>
        <v/>
      </c>
      <c r="PR25" s="4" t="str">
        <f t="shared" si="218"/>
        <v/>
      </c>
      <c r="PS25" s="4" t="str">
        <f t="shared" si="219"/>
        <v/>
      </c>
    </row>
    <row r="26">
      <c r="HI26" s="4" t="str">
        <f t="shared" si="2"/>
        <v/>
      </c>
      <c r="HJ26" s="4" t="str">
        <f t="shared" si="3"/>
        <v/>
      </c>
      <c r="HK26" s="4" t="str">
        <f t="shared" si="4"/>
        <v/>
      </c>
      <c r="HL26" s="4" t="str">
        <f t="shared" si="5"/>
        <v/>
      </c>
      <c r="HM26" s="4" t="str">
        <f t="shared" si="6"/>
        <v/>
      </c>
      <c r="HN26" s="4" t="str">
        <f t="shared" si="7"/>
        <v/>
      </c>
      <c r="HO26" s="4" t="str">
        <f t="shared" si="8"/>
        <v/>
      </c>
      <c r="HP26" s="4" t="str">
        <f t="shared" si="9"/>
        <v/>
      </c>
      <c r="HQ26" s="4" t="str">
        <f t="shared" si="10"/>
        <v/>
      </c>
      <c r="HR26" s="4" t="str">
        <f t="shared" si="11"/>
        <v/>
      </c>
      <c r="HS26" s="4" t="str">
        <f t="shared" si="12"/>
        <v/>
      </c>
      <c r="HT26" s="4" t="str">
        <f t="shared" si="13"/>
        <v/>
      </c>
      <c r="HU26" s="4" t="str">
        <f t="shared" si="14"/>
        <v/>
      </c>
      <c r="HV26" s="4" t="str">
        <f t="shared" si="15"/>
        <v/>
      </c>
      <c r="HW26" s="4" t="str">
        <f t="shared" si="16"/>
        <v/>
      </c>
      <c r="HX26" s="4" t="str">
        <f t="shared" si="17"/>
        <v/>
      </c>
      <c r="HY26" s="4" t="str">
        <f t="shared" si="18"/>
        <v/>
      </c>
      <c r="HZ26" s="4" t="str">
        <f t="shared" si="19"/>
        <v/>
      </c>
      <c r="IA26" s="4" t="str">
        <f t="shared" si="20"/>
        <v/>
      </c>
      <c r="IB26" s="4" t="str">
        <f t="shared" si="21"/>
        <v/>
      </c>
      <c r="IC26" s="4" t="str">
        <f t="shared" si="22"/>
        <v/>
      </c>
      <c r="ID26" s="4" t="str">
        <f t="shared" si="23"/>
        <v/>
      </c>
      <c r="IE26" s="4" t="str">
        <f t="shared" si="24"/>
        <v/>
      </c>
      <c r="IF26" s="4" t="str">
        <f t="shared" si="25"/>
        <v/>
      </c>
      <c r="IG26" s="4" t="str">
        <f t="shared" si="26"/>
        <v/>
      </c>
      <c r="IH26" s="4" t="str">
        <f t="shared" si="27"/>
        <v/>
      </c>
      <c r="II26" s="4" t="str">
        <f t="shared" si="28"/>
        <v/>
      </c>
      <c r="IJ26" s="4" t="str">
        <f t="shared" si="29"/>
        <v/>
      </c>
      <c r="IK26" s="4" t="str">
        <f t="shared" si="30"/>
        <v/>
      </c>
      <c r="IL26" s="4" t="str">
        <f t="shared" si="31"/>
        <v/>
      </c>
      <c r="IM26" s="4" t="str">
        <f t="shared" si="32"/>
        <v/>
      </c>
      <c r="IN26" s="4" t="str">
        <f t="shared" si="33"/>
        <v/>
      </c>
      <c r="IO26" s="4" t="str">
        <f t="shared" si="34"/>
        <v/>
      </c>
      <c r="IP26" s="4" t="str">
        <f t="shared" si="35"/>
        <v/>
      </c>
      <c r="IQ26" s="4" t="str">
        <f t="shared" si="36"/>
        <v/>
      </c>
      <c r="IR26" s="4" t="str">
        <f t="shared" si="37"/>
        <v/>
      </c>
      <c r="IS26" s="4" t="str">
        <f t="shared" si="38"/>
        <v/>
      </c>
      <c r="IT26" s="4" t="str">
        <f t="shared" si="39"/>
        <v/>
      </c>
      <c r="IU26" s="4" t="str">
        <f t="shared" si="40"/>
        <v/>
      </c>
      <c r="IV26" s="4" t="str">
        <f t="shared" si="41"/>
        <v/>
      </c>
      <c r="IW26" s="4" t="str">
        <f t="shared" si="42"/>
        <v/>
      </c>
      <c r="IX26" s="4" t="str">
        <f t="shared" si="43"/>
        <v/>
      </c>
      <c r="IY26" s="4" t="str">
        <f t="shared" si="44"/>
        <v/>
      </c>
      <c r="IZ26" s="4" t="str">
        <f t="shared" si="45"/>
        <v/>
      </c>
      <c r="JA26" s="4" t="str">
        <f t="shared" ref="JA26:JB26" si="242">if(ISERROR(SEARCH("Higher Education",BB26)),"","810")</f>
        <v/>
      </c>
      <c r="JB26" s="4" t="str">
        <f t="shared" si="242"/>
        <v/>
      </c>
      <c r="JC26" s="4" t="str">
        <f t="shared" si="47"/>
        <v/>
      </c>
      <c r="JD26" s="4" t="str">
        <f t="shared" si="48"/>
        <v/>
      </c>
      <c r="JE26" s="4" t="str">
        <f t="shared" si="49"/>
        <v/>
      </c>
      <c r="JF26" s="4" t="str">
        <f t="shared" si="50"/>
        <v/>
      </c>
      <c r="JG26" s="4" t="str">
        <f t="shared" si="51"/>
        <v/>
      </c>
      <c r="JH26" s="4" t="str">
        <f t="shared" si="52"/>
        <v/>
      </c>
      <c r="JI26" s="4" t="str">
        <f t="shared" si="53"/>
        <v/>
      </c>
      <c r="JJ26" s="4" t="str">
        <f t="shared" si="54"/>
        <v/>
      </c>
      <c r="JK26" s="4" t="str">
        <f t="shared" si="55"/>
        <v/>
      </c>
      <c r="JL26" s="4" t="str">
        <f t="shared" si="56"/>
        <v/>
      </c>
      <c r="JM26" s="4" t="str">
        <f t="shared" si="57"/>
        <v/>
      </c>
      <c r="JN26" s="4" t="str">
        <f t="shared" si="58"/>
        <v/>
      </c>
      <c r="JO26" s="4" t="str">
        <f t="shared" si="59"/>
        <v/>
      </c>
      <c r="JP26" s="4" t="str">
        <f t="shared" si="60"/>
        <v/>
      </c>
      <c r="JQ26" s="4" t="str">
        <f t="shared" si="61"/>
        <v/>
      </c>
      <c r="JR26" s="4" t="str">
        <f t="shared" si="62"/>
        <v/>
      </c>
      <c r="JS26" s="4" t="str">
        <f t="shared" si="63"/>
        <v/>
      </c>
      <c r="JT26" s="4" t="str">
        <f t="shared" si="64"/>
        <v/>
      </c>
      <c r="JU26" s="4" t="str">
        <f t="shared" si="65"/>
        <v/>
      </c>
      <c r="JV26" s="4" t="str">
        <f t="shared" si="66"/>
        <v/>
      </c>
      <c r="JW26" s="4" t="str">
        <f t="shared" si="67"/>
        <v/>
      </c>
      <c r="JX26" s="4" t="str">
        <f t="shared" si="68"/>
        <v/>
      </c>
      <c r="JY26" s="4" t="str">
        <f t="shared" si="69"/>
        <v/>
      </c>
      <c r="JZ26" s="4" t="str">
        <f t="shared" si="70"/>
        <v/>
      </c>
      <c r="KA26" s="4" t="str">
        <f t="shared" si="71"/>
        <v/>
      </c>
      <c r="KB26" s="4" t="str">
        <f t="shared" si="72"/>
        <v/>
      </c>
      <c r="KC26" s="4" t="str">
        <f t="shared" si="73"/>
        <v/>
      </c>
      <c r="KD26" s="4" t="str">
        <f t="shared" si="74"/>
        <v/>
      </c>
      <c r="KE26" s="4" t="str">
        <f t="shared" si="75"/>
        <v/>
      </c>
      <c r="KF26" s="4" t="str">
        <f t="shared" si="76"/>
        <v/>
      </c>
      <c r="KG26" s="4" t="str">
        <f t="shared" si="77"/>
        <v/>
      </c>
      <c r="KH26" s="4" t="str">
        <f t="shared" si="78"/>
        <v/>
      </c>
      <c r="KI26" s="4" t="str">
        <f t="shared" si="79"/>
        <v/>
      </c>
      <c r="KJ26" s="4" t="str">
        <f t="shared" si="80"/>
        <v/>
      </c>
      <c r="KK26" s="4" t="str">
        <f t="shared" si="81"/>
        <v/>
      </c>
      <c r="KL26" s="4" t="str">
        <f t="shared" si="82"/>
        <v/>
      </c>
      <c r="KM26" s="4" t="str">
        <f t="shared" si="83"/>
        <v/>
      </c>
      <c r="KN26" s="4" t="str">
        <f t="shared" si="84"/>
        <v/>
      </c>
      <c r="KO26" s="4" t="str">
        <f t="shared" si="85"/>
        <v/>
      </c>
      <c r="KP26" s="4" t="str">
        <f t="shared" si="86"/>
        <v/>
      </c>
      <c r="KQ26" s="4" t="str">
        <f t="shared" si="87"/>
        <v/>
      </c>
      <c r="KR26" s="4" t="str">
        <f t="shared" si="88"/>
        <v/>
      </c>
      <c r="KS26" s="4" t="str">
        <f t="shared" si="89"/>
        <v/>
      </c>
      <c r="KT26" s="4" t="str">
        <f t="shared" si="90"/>
        <v/>
      </c>
      <c r="KU26" s="4" t="str">
        <f t="shared" si="91"/>
        <v/>
      </c>
      <c r="KV26" s="4" t="str">
        <f t="shared" si="92"/>
        <v/>
      </c>
      <c r="KW26" s="4" t="str">
        <f t="shared" si="93"/>
        <v/>
      </c>
      <c r="KX26" s="4" t="str">
        <f t="shared" si="94"/>
        <v/>
      </c>
      <c r="KY26" s="4" t="str">
        <f t="shared" si="95"/>
        <v/>
      </c>
      <c r="KZ26" s="4" t="str">
        <f t="shared" si="96"/>
        <v/>
      </c>
      <c r="LA26" s="4" t="str">
        <f t="shared" si="97"/>
        <v/>
      </c>
      <c r="LB26" s="4" t="str">
        <f t="shared" si="98"/>
        <v/>
      </c>
      <c r="LC26" s="4" t="str">
        <f t="shared" si="99"/>
        <v/>
      </c>
      <c r="LD26" s="4" t="str">
        <f t="shared" si="100"/>
        <v/>
      </c>
      <c r="LE26" s="4" t="str">
        <f t="shared" si="101"/>
        <v/>
      </c>
      <c r="LF26" s="4" t="str">
        <f t="shared" si="102"/>
        <v/>
      </c>
      <c r="LG26" s="4" t="str">
        <f t="shared" si="103"/>
        <v/>
      </c>
      <c r="LH26" s="4" t="str">
        <f t="shared" si="104"/>
        <v/>
      </c>
      <c r="LI26" s="4" t="str">
        <f t="shared" si="105"/>
        <v/>
      </c>
      <c r="LJ26" s="4" t="str">
        <f t="shared" si="106"/>
        <v/>
      </c>
      <c r="LK26" s="4" t="str">
        <f t="shared" si="107"/>
        <v/>
      </c>
      <c r="LL26" s="4" t="str">
        <f t="shared" si="108"/>
        <v/>
      </c>
      <c r="LM26" s="4" t="str">
        <f t="shared" si="109"/>
        <v/>
      </c>
      <c r="LN26" s="4" t="str">
        <f t="shared" si="110"/>
        <v/>
      </c>
      <c r="LO26" s="4" t="str">
        <f t="shared" si="111"/>
        <v/>
      </c>
      <c r="LP26" s="4" t="str">
        <f t="shared" si="112"/>
        <v/>
      </c>
      <c r="LQ26" s="4" t="str">
        <f t="shared" si="113"/>
        <v/>
      </c>
      <c r="LR26" s="4" t="str">
        <f t="shared" si="114"/>
        <v/>
      </c>
      <c r="LS26" s="4" t="str">
        <f t="shared" si="115"/>
        <v/>
      </c>
      <c r="LT26" s="4" t="str">
        <f t="shared" si="116"/>
        <v/>
      </c>
      <c r="LU26" s="4" t="str">
        <f t="shared" si="117"/>
        <v/>
      </c>
      <c r="LV26" s="4" t="str">
        <f t="shared" si="118"/>
        <v/>
      </c>
      <c r="LW26" s="4" t="str">
        <f t="shared" si="119"/>
        <v/>
      </c>
      <c r="LX26" s="4" t="str">
        <f t="shared" si="120"/>
        <v/>
      </c>
      <c r="LY26" s="4" t="str">
        <f t="shared" si="121"/>
        <v/>
      </c>
      <c r="LZ26" s="4" t="str">
        <f t="shared" si="122"/>
        <v/>
      </c>
      <c r="MA26" s="4" t="str">
        <f t="shared" si="123"/>
        <v/>
      </c>
      <c r="MB26" s="4" t="str">
        <f t="shared" si="124"/>
        <v/>
      </c>
      <c r="MC26" s="4" t="str">
        <f t="shared" si="125"/>
        <v/>
      </c>
      <c r="MD26" s="4" t="str">
        <f t="shared" si="126"/>
        <v/>
      </c>
      <c r="ME26" s="4" t="str">
        <f t="shared" si="127"/>
        <v/>
      </c>
      <c r="MF26" s="4" t="str">
        <f t="shared" si="128"/>
        <v/>
      </c>
      <c r="MG26" s="4" t="str">
        <f t="shared" si="129"/>
        <v/>
      </c>
      <c r="MH26" s="4" t="str">
        <f t="shared" si="130"/>
        <v/>
      </c>
      <c r="MI26" s="4" t="str">
        <f t="shared" si="131"/>
        <v/>
      </c>
      <c r="MJ26" s="4" t="str">
        <f t="shared" si="132"/>
        <v/>
      </c>
      <c r="MK26" s="4" t="str">
        <f t="shared" si="133"/>
        <v/>
      </c>
      <c r="ML26" s="4" t="str">
        <f t="shared" si="134"/>
        <v/>
      </c>
      <c r="MM26" s="4" t="str">
        <f t="shared" si="135"/>
        <v/>
      </c>
      <c r="MN26" s="4" t="str">
        <f t="shared" si="136"/>
        <v/>
      </c>
      <c r="MO26" s="4" t="str">
        <f t="shared" si="137"/>
        <v/>
      </c>
      <c r="MP26" s="4" t="str">
        <f t="shared" si="138"/>
        <v/>
      </c>
      <c r="MQ26" s="4" t="str">
        <f t="shared" si="139"/>
        <v/>
      </c>
      <c r="MR26" s="4" t="str">
        <f t="shared" si="140"/>
        <v/>
      </c>
      <c r="MS26" s="4" t="str">
        <f t="shared" si="141"/>
        <v/>
      </c>
      <c r="MT26" s="4" t="str">
        <f t="shared" si="142"/>
        <v/>
      </c>
      <c r="MU26" s="4" t="str">
        <f t="shared" si="143"/>
        <v/>
      </c>
      <c r="MV26" s="4" t="str">
        <f t="shared" si="144"/>
        <v/>
      </c>
      <c r="MW26" s="4" t="str">
        <f t="shared" si="145"/>
        <v/>
      </c>
      <c r="MX26" s="4" t="str">
        <f t="shared" si="146"/>
        <v/>
      </c>
      <c r="MY26" s="4" t="str">
        <f t="shared" si="147"/>
        <v/>
      </c>
      <c r="MZ26" s="4" t="str">
        <f t="shared" si="148"/>
        <v/>
      </c>
      <c r="NA26" s="4" t="str">
        <f t="shared" si="149"/>
        <v/>
      </c>
      <c r="NB26" s="4" t="str">
        <f t="shared" si="150"/>
        <v/>
      </c>
      <c r="NC26" s="4" t="str">
        <f t="shared" si="151"/>
        <v/>
      </c>
      <c r="ND26" s="4" t="str">
        <f t="shared" si="152"/>
        <v/>
      </c>
      <c r="NE26" s="4" t="str">
        <f t="shared" si="153"/>
        <v/>
      </c>
      <c r="NF26" s="4" t="str">
        <f t="shared" si="154"/>
        <v/>
      </c>
      <c r="NG26" s="4" t="str">
        <f t="shared" si="155"/>
        <v/>
      </c>
      <c r="NH26" s="4" t="str">
        <f t="shared" si="156"/>
        <v/>
      </c>
      <c r="NI26" s="4" t="str">
        <f t="shared" si="157"/>
        <v/>
      </c>
      <c r="NJ26" s="4" t="str">
        <f t="shared" si="158"/>
        <v/>
      </c>
      <c r="NK26" s="4" t="str">
        <f t="shared" si="159"/>
        <v/>
      </c>
      <c r="NL26" s="4" t="str">
        <f t="shared" si="160"/>
        <v/>
      </c>
      <c r="NM26" s="4" t="str">
        <f t="shared" si="161"/>
        <v/>
      </c>
      <c r="NN26" s="4" t="str">
        <f t="shared" si="162"/>
        <v/>
      </c>
      <c r="NO26" s="4" t="str">
        <f t="shared" si="163"/>
        <v/>
      </c>
      <c r="NP26" s="4" t="str">
        <f t="shared" si="164"/>
        <v/>
      </c>
      <c r="NQ26" s="4" t="str">
        <f t="shared" si="165"/>
        <v/>
      </c>
      <c r="NR26" s="4" t="str">
        <f t="shared" si="166"/>
        <v/>
      </c>
      <c r="NS26" s="4" t="str">
        <f t="shared" si="167"/>
        <v/>
      </c>
      <c r="NT26" s="4" t="str">
        <f t="shared" si="168"/>
        <v/>
      </c>
      <c r="NU26" s="4" t="str">
        <f t="shared" si="169"/>
        <v/>
      </c>
      <c r="NV26" s="4" t="str">
        <f t="shared" si="170"/>
        <v/>
      </c>
      <c r="NW26" s="4" t="str">
        <f t="shared" si="171"/>
        <v/>
      </c>
      <c r="NX26" s="4" t="str">
        <f t="shared" si="172"/>
        <v/>
      </c>
      <c r="NY26" s="4" t="str">
        <f t="shared" si="173"/>
        <v/>
      </c>
      <c r="NZ26" s="4" t="str">
        <f t="shared" si="174"/>
        <v/>
      </c>
      <c r="OA26" s="4" t="str">
        <f t="shared" si="175"/>
        <v/>
      </c>
      <c r="OB26" s="4" t="str">
        <f t="shared" si="176"/>
        <v/>
      </c>
      <c r="OC26" s="4" t="str">
        <f t="shared" si="177"/>
        <v/>
      </c>
      <c r="OD26" s="4" t="str">
        <f t="shared" si="178"/>
        <v/>
      </c>
      <c r="OE26" s="4" t="str">
        <f t="shared" si="179"/>
        <v/>
      </c>
      <c r="OF26" s="4" t="str">
        <f t="shared" si="180"/>
        <v/>
      </c>
      <c r="OG26" s="4" t="str">
        <f t="shared" si="181"/>
        <v/>
      </c>
      <c r="OH26" s="4" t="str">
        <f t="shared" si="182"/>
        <v/>
      </c>
      <c r="OI26" s="4" t="str">
        <f t="shared" si="183"/>
        <v/>
      </c>
      <c r="OJ26" s="4" t="str">
        <f t="shared" si="184"/>
        <v/>
      </c>
      <c r="OK26" s="4" t="str">
        <f t="shared" si="185"/>
        <v/>
      </c>
      <c r="OL26" s="4" t="str">
        <f t="shared" si="186"/>
        <v/>
      </c>
      <c r="OM26" s="4" t="str">
        <f t="shared" si="187"/>
        <v/>
      </c>
      <c r="ON26" s="4" t="str">
        <f t="shared" si="188"/>
        <v/>
      </c>
      <c r="OO26" s="4" t="str">
        <f t="shared" si="189"/>
        <v/>
      </c>
      <c r="OP26" s="4" t="str">
        <f t="shared" si="190"/>
        <v/>
      </c>
      <c r="OQ26" s="4" t="str">
        <f t="shared" si="191"/>
        <v/>
      </c>
      <c r="OR26" s="4" t="str">
        <f t="shared" si="192"/>
        <v/>
      </c>
      <c r="OS26" s="4" t="str">
        <f t="shared" si="193"/>
        <v/>
      </c>
      <c r="OT26" s="4" t="str">
        <f t="shared" si="194"/>
        <v/>
      </c>
      <c r="OU26" s="4" t="str">
        <f t="shared" si="195"/>
        <v/>
      </c>
      <c r="OV26" s="4" t="str">
        <f t="shared" si="196"/>
        <v/>
      </c>
      <c r="OW26" s="4" t="str">
        <f t="shared" si="197"/>
        <v/>
      </c>
      <c r="OX26" s="4" t="str">
        <f t="shared" si="198"/>
        <v/>
      </c>
      <c r="OY26" s="4" t="str">
        <f t="shared" si="199"/>
        <v/>
      </c>
      <c r="OZ26" s="4" t="str">
        <f t="shared" si="200"/>
        <v/>
      </c>
      <c r="PA26" s="4" t="str">
        <f t="shared" si="201"/>
        <v/>
      </c>
      <c r="PB26" s="4" t="str">
        <f t="shared" si="202"/>
        <v/>
      </c>
      <c r="PC26" s="4" t="str">
        <f t="shared" si="203"/>
        <v/>
      </c>
      <c r="PD26" s="4" t="str">
        <f t="shared" si="204"/>
        <v/>
      </c>
      <c r="PE26" s="4" t="str">
        <f t="shared" si="205"/>
        <v/>
      </c>
      <c r="PF26" s="4" t="str">
        <f t="shared" si="206"/>
        <v/>
      </c>
      <c r="PG26" s="4" t="str">
        <f t="shared" si="207"/>
        <v/>
      </c>
      <c r="PH26" s="4" t="str">
        <f t="shared" si="208"/>
        <v/>
      </c>
      <c r="PI26" s="4" t="str">
        <f t="shared" si="209"/>
        <v/>
      </c>
      <c r="PJ26" s="4" t="str">
        <f t="shared" si="210"/>
        <v/>
      </c>
      <c r="PK26" s="4" t="str">
        <f t="shared" si="211"/>
        <v/>
      </c>
      <c r="PL26" s="4" t="str">
        <f t="shared" si="212"/>
        <v/>
      </c>
      <c r="PM26" s="4" t="str">
        <f t="shared" si="213"/>
        <v/>
      </c>
      <c r="PN26" s="4" t="str">
        <f t="shared" si="214"/>
        <v/>
      </c>
      <c r="PO26" s="4" t="str">
        <f t="shared" si="215"/>
        <v/>
      </c>
      <c r="PP26" s="4" t="str">
        <f t="shared" si="216"/>
        <v/>
      </c>
      <c r="PQ26" s="4" t="str">
        <f t="shared" si="217"/>
        <v/>
      </c>
      <c r="PR26" s="4" t="str">
        <f t="shared" si="218"/>
        <v/>
      </c>
      <c r="PS26" s="4" t="str">
        <f t="shared" si="219"/>
        <v/>
      </c>
    </row>
    <row r="27">
      <c r="HI27" s="4" t="str">
        <f t="shared" si="2"/>
        <v/>
      </c>
      <c r="HJ27" s="4" t="str">
        <f t="shared" si="3"/>
        <v/>
      </c>
      <c r="HK27" s="4" t="str">
        <f t="shared" si="4"/>
        <v/>
      </c>
      <c r="HL27" s="4" t="str">
        <f t="shared" si="5"/>
        <v/>
      </c>
      <c r="HM27" s="4" t="str">
        <f t="shared" si="6"/>
        <v/>
      </c>
      <c r="HN27" s="4" t="str">
        <f t="shared" si="7"/>
        <v/>
      </c>
      <c r="HO27" s="4" t="str">
        <f t="shared" si="8"/>
        <v/>
      </c>
      <c r="HP27" s="4" t="str">
        <f t="shared" si="9"/>
        <v/>
      </c>
      <c r="HQ27" s="4" t="str">
        <f t="shared" si="10"/>
        <v/>
      </c>
      <c r="HR27" s="4" t="str">
        <f t="shared" si="11"/>
        <v/>
      </c>
      <c r="HS27" s="4" t="str">
        <f t="shared" si="12"/>
        <v/>
      </c>
      <c r="HT27" s="4" t="str">
        <f t="shared" si="13"/>
        <v/>
      </c>
      <c r="HU27" s="4" t="str">
        <f t="shared" si="14"/>
        <v/>
      </c>
      <c r="HV27" s="4" t="str">
        <f t="shared" si="15"/>
        <v/>
      </c>
      <c r="HW27" s="4" t="str">
        <f t="shared" si="16"/>
        <v/>
      </c>
      <c r="HX27" s="4" t="str">
        <f t="shared" si="17"/>
        <v/>
      </c>
      <c r="HY27" s="4" t="str">
        <f t="shared" si="18"/>
        <v/>
      </c>
      <c r="HZ27" s="4" t="str">
        <f t="shared" si="19"/>
        <v/>
      </c>
      <c r="IA27" s="4" t="str">
        <f t="shared" si="20"/>
        <v/>
      </c>
      <c r="IB27" s="4" t="str">
        <f t="shared" si="21"/>
        <v/>
      </c>
      <c r="IC27" s="4" t="str">
        <f t="shared" si="22"/>
        <v/>
      </c>
      <c r="ID27" s="4" t="str">
        <f t="shared" si="23"/>
        <v/>
      </c>
      <c r="IE27" s="4" t="str">
        <f t="shared" si="24"/>
        <v/>
      </c>
      <c r="IF27" s="4" t="str">
        <f t="shared" si="25"/>
        <v/>
      </c>
      <c r="IG27" s="4" t="str">
        <f t="shared" si="26"/>
        <v/>
      </c>
      <c r="IH27" s="4" t="str">
        <f t="shared" si="27"/>
        <v/>
      </c>
      <c r="II27" s="4" t="str">
        <f t="shared" si="28"/>
        <v/>
      </c>
      <c r="IJ27" s="4" t="str">
        <f t="shared" si="29"/>
        <v/>
      </c>
      <c r="IK27" s="4" t="str">
        <f t="shared" si="30"/>
        <v/>
      </c>
      <c r="IL27" s="4" t="str">
        <f t="shared" si="31"/>
        <v/>
      </c>
      <c r="IM27" s="4" t="str">
        <f t="shared" si="32"/>
        <v/>
      </c>
      <c r="IN27" s="4" t="str">
        <f t="shared" si="33"/>
        <v/>
      </c>
      <c r="IO27" s="4" t="str">
        <f t="shared" si="34"/>
        <v/>
      </c>
      <c r="IP27" s="4" t="str">
        <f t="shared" si="35"/>
        <v/>
      </c>
      <c r="IQ27" s="4" t="str">
        <f t="shared" si="36"/>
        <v/>
      </c>
      <c r="IR27" s="4" t="str">
        <f t="shared" si="37"/>
        <v/>
      </c>
      <c r="IS27" s="4" t="str">
        <f t="shared" si="38"/>
        <v/>
      </c>
      <c r="IT27" s="4" t="str">
        <f t="shared" si="39"/>
        <v/>
      </c>
      <c r="IU27" s="4" t="str">
        <f t="shared" si="40"/>
        <v/>
      </c>
      <c r="IV27" s="4" t="str">
        <f t="shared" si="41"/>
        <v/>
      </c>
      <c r="IW27" s="4" t="str">
        <f t="shared" si="42"/>
        <v/>
      </c>
      <c r="IX27" s="4" t="str">
        <f t="shared" si="43"/>
        <v/>
      </c>
      <c r="IY27" s="4" t="str">
        <f t="shared" si="44"/>
        <v/>
      </c>
      <c r="IZ27" s="4" t="str">
        <f t="shared" si="45"/>
        <v/>
      </c>
      <c r="JA27" s="4" t="str">
        <f t="shared" ref="JA27:JB27" si="243">if(ISERROR(SEARCH("Higher Education",BB27)),"","810")</f>
        <v/>
      </c>
      <c r="JB27" s="4" t="str">
        <f t="shared" si="243"/>
        <v/>
      </c>
      <c r="JC27" s="4" t="str">
        <f t="shared" si="47"/>
        <v/>
      </c>
      <c r="JD27" s="4" t="str">
        <f t="shared" si="48"/>
        <v/>
      </c>
      <c r="JE27" s="4" t="str">
        <f t="shared" si="49"/>
        <v/>
      </c>
      <c r="JF27" s="4" t="str">
        <f t="shared" si="50"/>
        <v/>
      </c>
      <c r="JG27" s="4" t="str">
        <f t="shared" si="51"/>
        <v/>
      </c>
      <c r="JH27" s="4" t="str">
        <f t="shared" si="52"/>
        <v/>
      </c>
      <c r="JI27" s="4" t="str">
        <f t="shared" si="53"/>
        <v/>
      </c>
      <c r="JJ27" s="4" t="str">
        <f t="shared" si="54"/>
        <v/>
      </c>
      <c r="JK27" s="4" t="str">
        <f t="shared" si="55"/>
        <v/>
      </c>
      <c r="JL27" s="4" t="str">
        <f t="shared" si="56"/>
        <v/>
      </c>
      <c r="JM27" s="4" t="str">
        <f t="shared" si="57"/>
        <v/>
      </c>
      <c r="JN27" s="4" t="str">
        <f t="shared" si="58"/>
        <v/>
      </c>
      <c r="JO27" s="4" t="str">
        <f t="shared" si="59"/>
        <v/>
      </c>
      <c r="JP27" s="4" t="str">
        <f t="shared" si="60"/>
        <v/>
      </c>
      <c r="JQ27" s="4" t="str">
        <f t="shared" si="61"/>
        <v/>
      </c>
      <c r="JR27" s="4" t="str">
        <f t="shared" si="62"/>
        <v/>
      </c>
      <c r="JS27" s="4" t="str">
        <f t="shared" si="63"/>
        <v/>
      </c>
      <c r="JT27" s="4" t="str">
        <f t="shared" si="64"/>
        <v/>
      </c>
      <c r="JU27" s="4" t="str">
        <f t="shared" si="65"/>
        <v/>
      </c>
      <c r="JV27" s="4" t="str">
        <f t="shared" si="66"/>
        <v/>
      </c>
      <c r="JW27" s="4" t="str">
        <f t="shared" si="67"/>
        <v/>
      </c>
      <c r="JX27" s="4" t="str">
        <f t="shared" si="68"/>
        <v/>
      </c>
      <c r="JY27" s="4" t="str">
        <f t="shared" si="69"/>
        <v/>
      </c>
      <c r="JZ27" s="4" t="str">
        <f t="shared" si="70"/>
        <v/>
      </c>
      <c r="KA27" s="4" t="str">
        <f t="shared" si="71"/>
        <v/>
      </c>
      <c r="KB27" s="4" t="str">
        <f t="shared" si="72"/>
        <v/>
      </c>
      <c r="KC27" s="4" t="str">
        <f t="shared" si="73"/>
        <v/>
      </c>
      <c r="KD27" s="4" t="str">
        <f t="shared" si="74"/>
        <v/>
      </c>
      <c r="KE27" s="4" t="str">
        <f t="shared" si="75"/>
        <v/>
      </c>
      <c r="KF27" s="4" t="str">
        <f t="shared" si="76"/>
        <v/>
      </c>
      <c r="KG27" s="4" t="str">
        <f t="shared" si="77"/>
        <v/>
      </c>
      <c r="KH27" s="4" t="str">
        <f t="shared" si="78"/>
        <v/>
      </c>
      <c r="KI27" s="4" t="str">
        <f t="shared" si="79"/>
        <v/>
      </c>
      <c r="KJ27" s="4" t="str">
        <f t="shared" si="80"/>
        <v/>
      </c>
      <c r="KK27" s="4" t="str">
        <f t="shared" si="81"/>
        <v/>
      </c>
      <c r="KL27" s="4" t="str">
        <f t="shared" si="82"/>
        <v/>
      </c>
      <c r="KM27" s="4" t="str">
        <f t="shared" si="83"/>
        <v/>
      </c>
      <c r="KN27" s="4" t="str">
        <f t="shared" si="84"/>
        <v/>
      </c>
      <c r="KO27" s="4" t="str">
        <f t="shared" si="85"/>
        <v/>
      </c>
      <c r="KP27" s="4" t="str">
        <f t="shared" si="86"/>
        <v/>
      </c>
      <c r="KQ27" s="4" t="str">
        <f t="shared" si="87"/>
        <v/>
      </c>
      <c r="KR27" s="4" t="str">
        <f t="shared" si="88"/>
        <v/>
      </c>
      <c r="KS27" s="4" t="str">
        <f t="shared" si="89"/>
        <v/>
      </c>
      <c r="KT27" s="4" t="str">
        <f t="shared" si="90"/>
        <v/>
      </c>
      <c r="KU27" s="4" t="str">
        <f t="shared" si="91"/>
        <v/>
      </c>
      <c r="KV27" s="4" t="str">
        <f t="shared" si="92"/>
        <v/>
      </c>
      <c r="KW27" s="4" t="str">
        <f t="shared" si="93"/>
        <v/>
      </c>
      <c r="KX27" s="4" t="str">
        <f t="shared" si="94"/>
        <v/>
      </c>
      <c r="KY27" s="4" t="str">
        <f t="shared" si="95"/>
        <v/>
      </c>
      <c r="KZ27" s="4" t="str">
        <f t="shared" si="96"/>
        <v/>
      </c>
      <c r="LA27" s="4" t="str">
        <f t="shared" si="97"/>
        <v/>
      </c>
      <c r="LB27" s="4" t="str">
        <f t="shared" si="98"/>
        <v/>
      </c>
      <c r="LC27" s="4" t="str">
        <f t="shared" si="99"/>
        <v/>
      </c>
      <c r="LD27" s="4" t="str">
        <f t="shared" si="100"/>
        <v/>
      </c>
      <c r="LE27" s="4" t="str">
        <f t="shared" si="101"/>
        <v/>
      </c>
      <c r="LF27" s="4" t="str">
        <f t="shared" si="102"/>
        <v/>
      </c>
      <c r="LG27" s="4" t="str">
        <f t="shared" si="103"/>
        <v/>
      </c>
      <c r="LH27" s="4" t="str">
        <f t="shared" si="104"/>
        <v/>
      </c>
      <c r="LI27" s="4" t="str">
        <f t="shared" si="105"/>
        <v/>
      </c>
      <c r="LJ27" s="4" t="str">
        <f t="shared" si="106"/>
        <v/>
      </c>
      <c r="LK27" s="4" t="str">
        <f t="shared" si="107"/>
        <v/>
      </c>
      <c r="LL27" s="4" t="str">
        <f t="shared" si="108"/>
        <v/>
      </c>
      <c r="LM27" s="4" t="str">
        <f t="shared" si="109"/>
        <v/>
      </c>
      <c r="LN27" s="4" t="str">
        <f t="shared" si="110"/>
        <v/>
      </c>
      <c r="LO27" s="4" t="str">
        <f t="shared" si="111"/>
        <v/>
      </c>
      <c r="LP27" s="4" t="str">
        <f t="shared" si="112"/>
        <v/>
      </c>
      <c r="LQ27" s="4" t="str">
        <f t="shared" si="113"/>
        <v/>
      </c>
      <c r="LR27" s="4" t="str">
        <f t="shared" si="114"/>
        <v/>
      </c>
      <c r="LS27" s="4" t="str">
        <f t="shared" si="115"/>
        <v/>
      </c>
      <c r="LT27" s="4" t="str">
        <f t="shared" si="116"/>
        <v/>
      </c>
      <c r="LU27" s="4" t="str">
        <f t="shared" si="117"/>
        <v/>
      </c>
      <c r="LV27" s="4" t="str">
        <f t="shared" si="118"/>
        <v/>
      </c>
      <c r="LW27" s="4" t="str">
        <f t="shared" si="119"/>
        <v/>
      </c>
      <c r="LX27" s="4" t="str">
        <f t="shared" si="120"/>
        <v/>
      </c>
      <c r="LY27" s="4" t="str">
        <f t="shared" si="121"/>
        <v/>
      </c>
      <c r="LZ27" s="4" t="str">
        <f t="shared" si="122"/>
        <v/>
      </c>
      <c r="MA27" s="4" t="str">
        <f t="shared" si="123"/>
        <v/>
      </c>
      <c r="MB27" s="4" t="str">
        <f t="shared" si="124"/>
        <v/>
      </c>
      <c r="MC27" s="4" t="str">
        <f t="shared" si="125"/>
        <v/>
      </c>
      <c r="MD27" s="4" t="str">
        <f t="shared" si="126"/>
        <v/>
      </c>
      <c r="ME27" s="4" t="str">
        <f t="shared" si="127"/>
        <v/>
      </c>
      <c r="MF27" s="4" t="str">
        <f t="shared" si="128"/>
        <v/>
      </c>
      <c r="MG27" s="4" t="str">
        <f t="shared" si="129"/>
        <v/>
      </c>
      <c r="MH27" s="4" t="str">
        <f t="shared" si="130"/>
        <v/>
      </c>
      <c r="MI27" s="4" t="str">
        <f t="shared" si="131"/>
        <v/>
      </c>
      <c r="MJ27" s="4" t="str">
        <f t="shared" si="132"/>
        <v/>
      </c>
      <c r="MK27" s="4" t="str">
        <f t="shared" si="133"/>
        <v/>
      </c>
      <c r="ML27" s="4" t="str">
        <f t="shared" si="134"/>
        <v/>
      </c>
      <c r="MM27" s="4" t="str">
        <f t="shared" si="135"/>
        <v/>
      </c>
      <c r="MN27" s="4" t="str">
        <f t="shared" si="136"/>
        <v/>
      </c>
      <c r="MO27" s="4" t="str">
        <f t="shared" si="137"/>
        <v/>
      </c>
      <c r="MP27" s="4" t="str">
        <f t="shared" si="138"/>
        <v/>
      </c>
      <c r="MQ27" s="4" t="str">
        <f t="shared" si="139"/>
        <v/>
      </c>
      <c r="MR27" s="4" t="str">
        <f t="shared" si="140"/>
        <v/>
      </c>
      <c r="MS27" s="4" t="str">
        <f t="shared" si="141"/>
        <v/>
      </c>
      <c r="MT27" s="4" t="str">
        <f t="shared" si="142"/>
        <v/>
      </c>
      <c r="MU27" s="4" t="str">
        <f t="shared" si="143"/>
        <v/>
      </c>
      <c r="MV27" s="4" t="str">
        <f t="shared" si="144"/>
        <v/>
      </c>
      <c r="MW27" s="4" t="str">
        <f t="shared" si="145"/>
        <v/>
      </c>
      <c r="MX27" s="4" t="str">
        <f t="shared" si="146"/>
        <v/>
      </c>
      <c r="MY27" s="4" t="str">
        <f t="shared" si="147"/>
        <v/>
      </c>
      <c r="MZ27" s="4" t="str">
        <f t="shared" si="148"/>
        <v/>
      </c>
      <c r="NA27" s="4" t="str">
        <f t="shared" si="149"/>
        <v/>
      </c>
      <c r="NB27" s="4" t="str">
        <f t="shared" si="150"/>
        <v/>
      </c>
      <c r="NC27" s="4" t="str">
        <f t="shared" si="151"/>
        <v/>
      </c>
      <c r="ND27" s="4" t="str">
        <f t="shared" si="152"/>
        <v/>
      </c>
      <c r="NE27" s="4" t="str">
        <f t="shared" si="153"/>
        <v/>
      </c>
      <c r="NF27" s="4" t="str">
        <f t="shared" si="154"/>
        <v/>
      </c>
      <c r="NG27" s="4" t="str">
        <f t="shared" si="155"/>
        <v/>
      </c>
      <c r="NH27" s="4" t="str">
        <f t="shared" si="156"/>
        <v/>
      </c>
      <c r="NI27" s="4" t="str">
        <f t="shared" si="157"/>
        <v/>
      </c>
      <c r="NJ27" s="4" t="str">
        <f t="shared" si="158"/>
        <v/>
      </c>
      <c r="NK27" s="4" t="str">
        <f t="shared" si="159"/>
        <v/>
      </c>
      <c r="NL27" s="4" t="str">
        <f t="shared" si="160"/>
        <v/>
      </c>
      <c r="NM27" s="4" t="str">
        <f t="shared" si="161"/>
        <v/>
      </c>
      <c r="NN27" s="4" t="str">
        <f t="shared" si="162"/>
        <v/>
      </c>
      <c r="NO27" s="4" t="str">
        <f t="shared" si="163"/>
        <v/>
      </c>
      <c r="NP27" s="4" t="str">
        <f t="shared" si="164"/>
        <v/>
      </c>
      <c r="NQ27" s="4" t="str">
        <f t="shared" si="165"/>
        <v/>
      </c>
      <c r="NR27" s="4" t="str">
        <f t="shared" si="166"/>
        <v/>
      </c>
      <c r="NS27" s="4" t="str">
        <f t="shared" si="167"/>
        <v/>
      </c>
      <c r="NT27" s="4" t="str">
        <f t="shared" si="168"/>
        <v/>
      </c>
      <c r="NU27" s="4" t="str">
        <f t="shared" si="169"/>
        <v/>
      </c>
      <c r="NV27" s="4" t="str">
        <f t="shared" si="170"/>
        <v/>
      </c>
      <c r="NW27" s="4" t="str">
        <f t="shared" si="171"/>
        <v/>
      </c>
      <c r="NX27" s="4" t="str">
        <f t="shared" si="172"/>
        <v/>
      </c>
      <c r="NY27" s="4" t="str">
        <f t="shared" si="173"/>
        <v/>
      </c>
      <c r="NZ27" s="4" t="str">
        <f t="shared" si="174"/>
        <v/>
      </c>
      <c r="OA27" s="4" t="str">
        <f t="shared" si="175"/>
        <v/>
      </c>
      <c r="OB27" s="4" t="str">
        <f t="shared" si="176"/>
        <v/>
      </c>
      <c r="OC27" s="4" t="str">
        <f t="shared" si="177"/>
        <v/>
      </c>
      <c r="OD27" s="4" t="str">
        <f t="shared" si="178"/>
        <v/>
      </c>
      <c r="OE27" s="4" t="str">
        <f t="shared" si="179"/>
        <v/>
      </c>
      <c r="OF27" s="4" t="str">
        <f t="shared" si="180"/>
        <v/>
      </c>
      <c r="OG27" s="4" t="str">
        <f t="shared" si="181"/>
        <v/>
      </c>
      <c r="OH27" s="4" t="str">
        <f t="shared" si="182"/>
        <v/>
      </c>
      <c r="OI27" s="4" t="str">
        <f t="shared" si="183"/>
        <v/>
      </c>
      <c r="OJ27" s="4" t="str">
        <f t="shared" si="184"/>
        <v/>
      </c>
      <c r="OK27" s="4" t="str">
        <f t="shared" si="185"/>
        <v/>
      </c>
      <c r="OL27" s="4" t="str">
        <f t="shared" si="186"/>
        <v/>
      </c>
      <c r="OM27" s="4" t="str">
        <f t="shared" si="187"/>
        <v/>
      </c>
      <c r="ON27" s="4" t="str">
        <f t="shared" si="188"/>
        <v/>
      </c>
      <c r="OO27" s="4" t="str">
        <f t="shared" si="189"/>
        <v/>
      </c>
      <c r="OP27" s="4" t="str">
        <f t="shared" si="190"/>
        <v/>
      </c>
      <c r="OQ27" s="4" t="str">
        <f t="shared" si="191"/>
        <v/>
      </c>
      <c r="OR27" s="4" t="str">
        <f t="shared" si="192"/>
        <v/>
      </c>
      <c r="OS27" s="4" t="str">
        <f t="shared" si="193"/>
        <v/>
      </c>
      <c r="OT27" s="4" t="str">
        <f t="shared" si="194"/>
        <v/>
      </c>
      <c r="OU27" s="4" t="str">
        <f t="shared" si="195"/>
        <v/>
      </c>
      <c r="OV27" s="4" t="str">
        <f t="shared" si="196"/>
        <v/>
      </c>
      <c r="OW27" s="4" t="str">
        <f t="shared" si="197"/>
        <v/>
      </c>
      <c r="OX27" s="4" t="str">
        <f t="shared" si="198"/>
        <v/>
      </c>
      <c r="OY27" s="4" t="str">
        <f t="shared" si="199"/>
        <v/>
      </c>
      <c r="OZ27" s="4" t="str">
        <f t="shared" si="200"/>
        <v/>
      </c>
      <c r="PA27" s="4" t="str">
        <f t="shared" si="201"/>
        <v/>
      </c>
      <c r="PB27" s="4" t="str">
        <f t="shared" si="202"/>
        <v/>
      </c>
      <c r="PC27" s="4" t="str">
        <f t="shared" si="203"/>
        <v/>
      </c>
      <c r="PD27" s="4" t="str">
        <f t="shared" si="204"/>
        <v/>
      </c>
      <c r="PE27" s="4" t="str">
        <f t="shared" si="205"/>
        <v/>
      </c>
      <c r="PF27" s="4" t="str">
        <f t="shared" si="206"/>
        <v/>
      </c>
      <c r="PG27" s="4" t="str">
        <f t="shared" si="207"/>
        <v/>
      </c>
      <c r="PH27" s="4" t="str">
        <f t="shared" si="208"/>
        <v/>
      </c>
      <c r="PI27" s="4" t="str">
        <f t="shared" si="209"/>
        <v/>
      </c>
      <c r="PJ27" s="4" t="str">
        <f t="shared" si="210"/>
        <v/>
      </c>
      <c r="PK27" s="4" t="str">
        <f t="shared" si="211"/>
        <v/>
      </c>
      <c r="PL27" s="4" t="str">
        <f t="shared" si="212"/>
        <v/>
      </c>
      <c r="PM27" s="4" t="str">
        <f t="shared" si="213"/>
        <v/>
      </c>
      <c r="PN27" s="4" t="str">
        <f t="shared" si="214"/>
        <v/>
      </c>
      <c r="PO27" s="4" t="str">
        <f t="shared" si="215"/>
        <v/>
      </c>
      <c r="PP27" s="4" t="str">
        <f t="shared" si="216"/>
        <v/>
      </c>
      <c r="PQ27" s="4" t="str">
        <f t="shared" si="217"/>
        <v/>
      </c>
      <c r="PR27" s="4" t="str">
        <f t="shared" si="218"/>
        <v/>
      </c>
      <c r="PS27" s="4" t="str">
        <f t="shared" si="219"/>
        <v/>
      </c>
    </row>
    <row r="28">
      <c r="HI28" s="4" t="str">
        <f t="shared" si="2"/>
        <v/>
      </c>
      <c r="HJ28" s="4" t="str">
        <f t="shared" si="3"/>
        <v/>
      </c>
      <c r="HK28" s="4" t="str">
        <f t="shared" si="4"/>
        <v/>
      </c>
      <c r="HL28" s="4" t="str">
        <f t="shared" si="5"/>
        <v/>
      </c>
      <c r="HM28" s="4" t="str">
        <f t="shared" si="6"/>
        <v/>
      </c>
      <c r="HN28" s="4" t="str">
        <f t="shared" si="7"/>
        <v/>
      </c>
      <c r="HO28" s="4" t="str">
        <f t="shared" si="8"/>
        <v/>
      </c>
      <c r="HP28" s="4" t="str">
        <f t="shared" si="9"/>
        <v/>
      </c>
      <c r="HQ28" s="4" t="str">
        <f t="shared" si="10"/>
        <v/>
      </c>
      <c r="HR28" s="4" t="str">
        <f t="shared" si="11"/>
        <v/>
      </c>
      <c r="HS28" s="4" t="str">
        <f t="shared" si="12"/>
        <v/>
      </c>
      <c r="HT28" s="4" t="str">
        <f t="shared" si="13"/>
        <v/>
      </c>
      <c r="HU28" s="4" t="str">
        <f t="shared" si="14"/>
        <v/>
      </c>
      <c r="HV28" s="4" t="str">
        <f t="shared" si="15"/>
        <v/>
      </c>
      <c r="HW28" s="4" t="str">
        <f t="shared" si="16"/>
        <v/>
      </c>
      <c r="HX28" s="4" t="str">
        <f t="shared" si="17"/>
        <v/>
      </c>
      <c r="HY28" s="4" t="str">
        <f t="shared" si="18"/>
        <v/>
      </c>
      <c r="HZ28" s="4" t="str">
        <f t="shared" si="19"/>
        <v/>
      </c>
      <c r="IA28" s="4" t="str">
        <f t="shared" si="20"/>
        <v/>
      </c>
      <c r="IB28" s="4" t="str">
        <f t="shared" si="21"/>
        <v/>
      </c>
      <c r="IC28" s="4" t="str">
        <f t="shared" si="22"/>
        <v/>
      </c>
      <c r="ID28" s="4" t="str">
        <f t="shared" si="23"/>
        <v/>
      </c>
      <c r="IE28" s="4" t="str">
        <f t="shared" si="24"/>
        <v/>
      </c>
      <c r="IF28" s="4" t="str">
        <f t="shared" si="25"/>
        <v/>
      </c>
      <c r="IG28" s="4" t="str">
        <f t="shared" si="26"/>
        <v/>
      </c>
      <c r="IH28" s="4" t="str">
        <f t="shared" si="27"/>
        <v/>
      </c>
      <c r="II28" s="4" t="str">
        <f t="shared" si="28"/>
        <v/>
      </c>
      <c r="IJ28" s="4" t="str">
        <f t="shared" si="29"/>
        <v/>
      </c>
      <c r="IK28" s="4" t="str">
        <f t="shared" si="30"/>
        <v/>
      </c>
      <c r="IL28" s="4" t="str">
        <f t="shared" si="31"/>
        <v/>
      </c>
      <c r="IM28" s="4" t="str">
        <f t="shared" si="32"/>
        <v/>
      </c>
      <c r="IN28" s="4" t="str">
        <f t="shared" si="33"/>
        <v/>
      </c>
      <c r="IO28" s="4" t="str">
        <f t="shared" si="34"/>
        <v/>
      </c>
      <c r="IP28" s="4" t="str">
        <f t="shared" si="35"/>
        <v/>
      </c>
      <c r="IQ28" s="4" t="str">
        <f t="shared" si="36"/>
        <v/>
      </c>
      <c r="IR28" s="4" t="str">
        <f t="shared" si="37"/>
        <v/>
      </c>
      <c r="IS28" s="4" t="str">
        <f t="shared" si="38"/>
        <v/>
      </c>
      <c r="IT28" s="4" t="str">
        <f t="shared" si="39"/>
        <v/>
      </c>
      <c r="IU28" s="4" t="str">
        <f t="shared" si="40"/>
        <v/>
      </c>
      <c r="IV28" s="4" t="str">
        <f t="shared" si="41"/>
        <v/>
      </c>
      <c r="IW28" s="4" t="str">
        <f t="shared" si="42"/>
        <v/>
      </c>
      <c r="IX28" s="4" t="str">
        <f t="shared" si="43"/>
        <v/>
      </c>
      <c r="IY28" s="4" t="str">
        <f t="shared" si="44"/>
        <v/>
      </c>
      <c r="IZ28" s="4" t="str">
        <f t="shared" si="45"/>
        <v/>
      </c>
      <c r="JA28" s="4" t="str">
        <f t="shared" ref="JA28:JB28" si="244">if(ISERROR(SEARCH("Higher Education",BB28)),"","810")</f>
        <v/>
      </c>
      <c r="JB28" s="4" t="str">
        <f t="shared" si="244"/>
        <v/>
      </c>
      <c r="JC28" s="4" t="str">
        <f t="shared" si="47"/>
        <v/>
      </c>
      <c r="JD28" s="4" t="str">
        <f t="shared" si="48"/>
        <v/>
      </c>
      <c r="JE28" s="4" t="str">
        <f t="shared" si="49"/>
        <v/>
      </c>
      <c r="JF28" s="4" t="str">
        <f t="shared" si="50"/>
        <v/>
      </c>
      <c r="JG28" s="4" t="str">
        <f t="shared" si="51"/>
        <v/>
      </c>
      <c r="JH28" s="4" t="str">
        <f t="shared" si="52"/>
        <v/>
      </c>
      <c r="JI28" s="4" t="str">
        <f t="shared" si="53"/>
        <v/>
      </c>
      <c r="JJ28" s="4" t="str">
        <f t="shared" si="54"/>
        <v/>
      </c>
      <c r="JK28" s="4" t="str">
        <f t="shared" si="55"/>
        <v/>
      </c>
      <c r="JL28" s="4" t="str">
        <f t="shared" si="56"/>
        <v/>
      </c>
      <c r="JM28" s="4" t="str">
        <f t="shared" si="57"/>
        <v/>
      </c>
      <c r="JN28" s="4" t="str">
        <f t="shared" si="58"/>
        <v/>
      </c>
      <c r="JO28" s="4" t="str">
        <f t="shared" si="59"/>
        <v/>
      </c>
      <c r="JP28" s="4" t="str">
        <f t="shared" si="60"/>
        <v/>
      </c>
      <c r="JQ28" s="4" t="str">
        <f t="shared" si="61"/>
        <v/>
      </c>
      <c r="JR28" s="4" t="str">
        <f t="shared" si="62"/>
        <v/>
      </c>
      <c r="JS28" s="4" t="str">
        <f t="shared" si="63"/>
        <v/>
      </c>
      <c r="JT28" s="4" t="str">
        <f t="shared" si="64"/>
        <v/>
      </c>
      <c r="JU28" s="4" t="str">
        <f t="shared" si="65"/>
        <v/>
      </c>
      <c r="JV28" s="4" t="str">
        <f t="shared" si="66"/>
        <v/>
      </c>
      <c r="JW28" s="4" t="str">
        <f t="shared" si="67"/>
        <v/>
      </c>
      <c r="JX28" s="4" t="str">
        <f t="shared" si="68"/>
        <v/>
      </c>
      <c r="JY28" s="4" t="str">
        <f t="shared" si="69"/>
        <v/>
      </c>
      <c r="JZ28" s="4" t="str">
        <f t="shared" si="70"/>
        <v/>
      </c>
      <c r="KA28" s="4" t="str">
        <f t="shared" si="71"/>
        <v/>
      </c>
      <c r="KB28" s="4" t="str">
        <f t="shared" si="72"/>
        <v/>
      </c>
      <c r="KC28" s="4" t="str">
        <f t="shared" si="73"/>
        <v/>
      </c>
      <c r="KD28" s="4" t="str">
        <f t="shared" si="74"/>
        <v/>
      </c>
      <c r="KE28" s="4" t="str">
        <f t="shared" si="75"/>
        <v/>
      </c>
      <c r="KF28" s="4" t="str">
        <f t="shared" si="76"/>
        <v/>
      </c>
      <c r="KG28" s="4" t="str">
        <f t="shared" si="77"/>
        <v/>
      </c>
      <c r="KH28" s="4" t="str">
        <f t="shared" si="78"/>
        <v/>
      </c>
      <c r="KI28" s="4" t="str">
        <f t="shared" si="79"/>
        <v/>
      </c>
      <c r="KJ28" s="4" t="str">
        <f t="shared" si="80"/>
        <v/>
      </c>
      <c r="KK28" s="4" t="str">
        <f t="shared" si="81"/>
        <v/>
      </c>
      <c r="KL28" s="4" t="str">
        <f t="shared" si="82"/>
        <v/>
      </c>
      <c r="KM28" s="4" t="str">
        <f t="shared" si="83"/>
        <v/>
      </c>
      <c r="KN28" s="4" t="str">
        <f t="shared" si="84"/>
        <v/>
      </c>
      <c r="KO28" s="4" t="str">
        <f t="shared" si="85"/>
        <v/>
      </c>
      <c r="KP28" s="4" t="str">
        <f t="shared" si="86"/>
        <v/>
      </c>
      <c r="KQ28" s="4" t="str">
        <f t="shared" si="87"/>
        <v/>
      </c>
      <c r="KR28" s="4" t="str">
        <f t="shared" si="88"/>
        <v/>
      </c>
      <c r="KS28" s="4" t="str">
        <f t="shared" si="89"/>
        <v/>
      </c>
      <c r="KT28" s="4" t="str">
        <f t="shared" si="90"/>
        <v/>
      </c>
      <c r="KU28" s="4" t="str">
        <f t="shared" si="91"/>
        <v/>
      </c>
      <c r="KV28" s="4" t="str">
        <f t="shared" si="92"/>
        <v/>
      </c>
      <c r="KW28" s="4" t="str">
        <f t="shared" si="93"/>
        <v/>
      </c>
      <c r="KX28" s="4" t="str">
        <f t="shared" si="94"/>
        <v/>
      </c>
      <c r="KY28" s="4" t="str">
        <f t="shared" si="95"/>
        <v/>
      </c>
      <c r="KZ28" s="4" t="str">
        <f t="shared" si="96"/>
        <v/>
      </c>
      <c r="LA28" s="4" t="str">
        <f t="shared" si="97"/>
        <v/>
      </c>
      <c r="LB28" s="4" t="str">
        <f t="shared" si="98"/>
        <v/>
      </c>
      <c r="LC28" s="4" t="str">
        <f t="shared" si="99"/>
        <v/>
      </c>
      <c r="LD28" s="4" t="str">
        <f t="shared" si="100"/>
        <v/>
      </c>
      <c r="LE28" s="4" t="str">
        <f t="shared" si="101"/>
        <v/>
      </c>
      <c r="LF28" s="4" t="str">
        <f t="shared" si="102"/>
        <v/>
      </c>
      <c r="LG28" s="4" t="str">
        <f t="shared" si="103"/>
        <v/>
      </c>
      <c r="LH28" s="4" t="str">
        <f t="shared" si="104"/>
        <v/>
      </c>
      <c r="LI28" s="4" t="str">
        <f t="shared" si="105"/>
        <v/>
      </c>
      <c r="LJ28" s="4" t="str">
        <f t="shared" si="106"/>
        <v/>
      </c>
      <c r="LK28" s="4" t="str">
        <f t="shared" si="107"/>
        <v/>
      </c>
      <c r="LL28" s="4" t="str">
        <f t="shared" si="108"/>
        <v/>
      </c>
      <c r="LM28" s="4" t="str">
        <f t="shared" si="109"/>
        <v/>
      </c>
      <c r="LN28" s="4" t="str">
        <f t="shared" si="110"/>
        <v/>
      </c>
      <c r="LO28" s="4" t="str">
        <f t="shared" si="111"/>
        <v/>
      </c>
      <c r="LP28" s="4" t="str">
        <f t="shared" si="112"/>
        <v/>
      </c>
      <c r="LQ28" s="4" t="str">
        <f t="shared" si="113"/>
        <v/>
      </c>
      <c r="LR28" s="4" t="str">
        <f t="shared" si="114"/>
        <v/>
      </c>
      <c r="LS28" s="4" t="str">
        <f t="shared" si="115"/>
        <v/>
      </c>
      <c r="LT28" s="4" t="str">
        <f t="shared" si="116"/>
        <v/>
      </c>
      <c r="LU28" s="4" t="str">
        <f t="shared" si="117"/>
        <v/>
      </c>
      <c r="LV28" s="4" t="str">
        <f t="shared" si="118"/>
        <v/>
      </c>
      <c r="LW28" s="4" t="str">
        <f t="shared" si="119"/>
        <v/>
      </c>
      <c r="LX28" s="4" t="str">
        <f t="shared" si="120"/>
        <v/>
      </c>
      <c r="LY28" s="4" t="str">
        <f t="shared" si="121"/>
        <v/>
      </c>
      <c r="LZ28" s="4" t="str">
        <f t="shared" si="122"/>
        <v/>
      </c>
      <c r="MA28" s="4" t="str">
        <f t="shared" si="123"/>
        <v/>
      </c>
      <c r="MB28" s="4" t="str">
        <f t="shared" si="124"/>
        <v/>
      </c>
      <c r="MC28" s="4" t="str">
        <f t="shared" si="125"/>
        <v/>
      </c>
      <c r="MD28" s="4" t="str">
        <f t="shared" si="126"/>
        <v/>
      </c>
      <c r="ME28" s="4" t="str">
        <f t="shared" si="127"/>
        <v/>
      </c>
      <c r="MF28" s="4" t="str">
        <f t="shared" si="128"/>
        <v/>
      </c>
      <c r="MG28" s="4" t="str">
        <f t="shared" si="129"/>
        <v/>
      </c>
      <c r="MH28" s="4" t="str">
        <f t="shared" si="130"/>
        <v/>
      </c>
      <c r="MI28" s="4" t="str">
        <f t="shared" si="131"/>
        <v/>
      </c>
      <c r="MJ28" s="4" t="str">
        <f t="shared" si="132"/>
        <v/>
      </c>
      <c r="MK28" s="4" t="str">
        <f t="shared" si="133"/>
        <v/>
      </c>
      <c r="ML28" s="4" t="str">
        <f t="shared" si="134"/>
        <v/>
      </c>
      <c r="MM28" s="4" t="str">
        <f t="shared" si="135"/>
        <v/>
      </c>
      <c r="MN28" s="4" t="str">
        <f t="shared" si="136"/>
        <v/>
      </c>
      <c r="MO28" s="4" t="str">
        <f t="shared" si="137"/>
        <v/>
      </c>
      <c r="MP28" s="4" t="str">
        <f t="shared" si="138"/>
        <v/>
      </c>
      <c r="MQ28" s="4" t="str">
        <f t="shared" si="139"/>
        <v/>
      </c>
      <c r="MR28" s="4" t="str">
        <f t="shared" si="140"/>
        <v/>
      </c>
      <c r="MS28" s="4" t="str">
        <f t="shared" si="141"/>
        <v/>
      </c>
      <c r="MT28" s="4" t="str">
        <f t="shared" si="142"/>
        <v/>
      </c>
      <c r="MU28" s="4" t="str">
        <f t="shared" si="143"/>
        <v/>
      </c>
      <c r="MV28" s="4" t="str">
        <f t="shared" si="144"/>
        <v/>
      </c>
      <c r="MW28" s="4" t="str">
        <f t="shared" si="145"/>
        <v/>
      </c>
      <c r="MX28" s="4" t="str">
        <f t="shared" si="146"/>
        <v/>
      </c>
      <c r="MY28" s="4" t="str">
        <f t="shared" si="147"/>
        <v/>
      </c>
      <c r="MZ28" s="4" t="str">
        <f t="shared" si="148"/>
        <v/>
      </c>
      <c r="NA28" s="4" t="str">
        <f t="shared" si="149"/>
        <v/>
      </c>
      <c r="NB28" s="4" t="str">
        <f t="shared" si="150"/>
        <v/>
      </c>
      <c r="NC28" s="4" t="str">
        <f t="shared" si="151"/>
        <v/>
      </c>
      <c r="ND28" s="4" t="str">
        <f t="shared" si="152"/>
        <v/>
      </c>
      <c r="NE28" s="4" t="str">
        <f t="shared" si="153"/>
        <v/>
      </c>
      <c r="NF28" s="4" t="str">
        <f t="shared" si="154"/>
        <v/>
      </c>
      <c r="NG28" s="4" t="str">
        <f t="shared" si="155"/>
        <v/>
      </c>
      <c r="NH28" s="4" t="str">
        <f t="shared" si="156"/>
        <v/>
      </c>
      <c r="NI28" s="4" t="str">
        <f t="shared" si="157"/>
        <v/>
      </c>
      <c r="NJ28" s="4" t="str">
        <f t="shared" si="158"/>
        <v/>
      </c>
      <c r="NK28" s="4" t="str">
        <f t="shared" si="159"/>
        <v/>
      </c>
      <c r="NL28" s="4" t="str">
        <f t="shared" si="160"/>
        <v/>
      </c>
      <c r="NM28" s="4" t="str">
        <f t="shared" si="161"/>
        <v/>
      </c>
      <c r="NN28" s="4" t="str">
        <f t="shared" si="162"/>
        <v/>
      </c>
      <c r="NO28" s="4" t="str">
        <f t="shared" si="163"/>
        <v/>
      </c>
      <c r="NP28" s="4" t="str">
        <f t="shared" si="164"/>
        <v/>
      </c>
      <c r="NQ28" s="4" t="str">
        <f t="shared" si="165"/>
        <v/>
      </c>
      <c r="NR28" s="4" t="str">
        <f t="shared" si="166"/>
        <v/>
      </c>
      <c r="NS28" s="4" t="str">
        <f t="shared" si="167"/>
        <v/>
      </c>
      <c r="NT28" s="4" t="str">
        <f t="shared" si="168"/>
        <v/>
      </c>
      <c r="NU28" s="4" t="str">
        <f t="shared" si="169"/>
        <v/>
      </c>
      <c r="NV28" s="4" t="str">
        <f t="shared" si="170"/>
        <v/>
      </c>
      <c r="NW28" s="4" t="str">
        <f t="shared" si="171"/>
        <v/>
      </c>
      <c r="NX28" s="4" t="str">
        <f t="shared" si="172"/>
        <v/>
      </c>
      <c r="NY28" s="4" t="str">
        <f t="shared" si="173"/>
        <v/>
      </c>
      <c r="NZ28" s="4" t="str">
        <f t="shared" si="174"/>
        <v/>
      </c>
      <c r="OA28" s="4" t="str">
        <f t="shared" si="175"/>
        <v/>
      </c>
      <c r="OB28" s="4" t="str">
        <f t="shared" si="176"/>
        <v/>
      </c>
      <c r="OC28" s="4" t="str">
        <f t="shared" si="177"/>
        <v/>
      </c>
      <c r="OD28" s="4" t="str">
        <f t="shared" si="178"/>
        <v/>
      </c>
      <c r="OE28" s="4" t="str">
        <f t="shared" si="179"/>
        <v/>
      </c>
      <c r="OF28" s="4" t="str">
        <f t="shared" si="180"/>
        <v/>
      </c>
      <c r="OG28" s="4" t="str">
        <f t="shared" si="181"/>
        <v/>
      </c>
      <c r="OH28" s="4" t="str">
        <f t="shared" si="182"/>
        <v/>
      </c>
      <c r="OI28" s="4" t="str">
        <f t="shared" si="183"/>
        <v/>
      </c>
      <c r="OJ28" s="4" t="str">
        <f t="shared" si="184"/>
        <v/>
      </c>
      <c r="OK28" s="4" t="str">
        <f t="shared" si="185"/>
        <v/>
      </c>
      <c r="OL28" s="4" t="str">
        <f t="shared" si="186"/>
        <v/>
      </c>
      <c r="OM28" s="4" t="str">
        <f t="shared" si="187"/>
        <v/>
      </c>
      <c r="ON28" s="4" t="str">
        <f t="shared" si="188"/>
        <v/>
      </c>
      <c r="OO28" s="4" t="str">
        <f t="shared" si="189"/>
        <v/>
      </c>
      <c r="OP28" s="4" t="str">
        <f t="shared" si="190"/>
        <v/>
      </c>
      <c r="OQ28" s="4" t="str">
        <f t="shared" si="191"/>
        <v/>
      </c>
      <c r="OR28" s="4" t="str">
        <f t="shared" si="192"/>
        <v/>
      </c>
      <c r="OS28" s="4" t="str">
        <f t="shared" si="193"/>
        <v/>
      </c>
      <c r="OT28" s="4" t="str">
        <f t="shared" si="194"/>
        <v/>
      </c>
      <c r="OU28" s="4" t="str">
        <f t="shared" si="195"/>
        <v/>
      </c>
      <c r="OV28" s="4" t="str">
        <f t="shared" si="196"/>
        <v/>
      </c>
      <c r="OW28" s="4" t="str">
        <f t="shared" si="197"/>
        <v/>
      </c>
      <c r="OX28" s="4" t="str">
        <f t="shared" si="198"/>
        <v/>
      </c>
      <c r="OY28" s="4" t="str">
        <f t="shared" si="199"/>
        <v/>
      </c>
      <c r="OZ28" s="4" t="str">
        <f t="shared" si="200"/>
        <v/>
      </c>
      <c r="PA28" s="4" t="str">
        <f t="shared" si="201"/>
        <v/>
      </c>
      <c r="PB28" s="4" t="str">
        <f t="shared" si="202"/>
        <v/>
      </c>
      <c r="PC28" s="4" t="str">
        <f t="shared" si="203"/>
        <v/>
      </c>
      <c r="PD28" s="4" t="str">
        <f t="shared" si="204"/>
        <v/>
      </c>
      <c r="PE28" s="4" t="str">
        <f t="shared" si="205"/>
        <v/>
      </c>
      <c r="PF28" s="4" t="str">
        <f t="shared" si="206"/>
        <v/>
      </c>
      <c r="PG28" s="4" t="str">
        <f t="shared" si="207"/>
        <v/>
      </c>
      <c r="PH28" s="4" t="str">
        <f t="shared" si="208"/>
        <v/>
      </c>
      <c r="PI28" s="4" t="str">
        <f t="shared" si="209"/>
        <v/>
      </c>
      <c r="PJ28" s="4" t="str">
        <f t="shared" si="210"/>
        <v/>
      </c>
      <c r="PK28" s="4" t="str">
        <f t="shared" si="211"/>
        <v/>
      </c>
      <c r="PL28" s="4" t="str">
        <f t="shared" si="212"/>
        <v/>
      </c>
      <c r="PM28" s="4" t="str">
        <f t="shared" si="213"/>
        <v/>
      </c>
      <c r="PN28" s="4" t="str">
        <f t="shared" si="214"/>
        <v/>
      </c>
      <c r="PO28" s="4" t="str">
        <f t="shared" si="215"/>
        <v/>
      </c>
      <c r="PP28" s="4" t="str">
        <f t="shared" si="216"/>
        <v/>
      </c>
      <c r="PQ28" s="4" t="str">
        <f t="shared" si="217"/>
        <v/>
      </c>
      <c r="PR28" s="4" t="str">
        <f t="shared" si="218"/>
        <v/>
      </c>
      <c r="PS28" s="4" t="str">
        <f t="shared" si="219"/>
        <v/>
      </c>
    </row>
    <row r="29">
      <c r="HI29" s="4" t="str">
        <f t="shared" si="2"/>
        <v/>
      </c>
      <c r="HJ29" s="4" t="str">
        <f t="shared" si="3"/>
        <v/>
      </c>
      <c r="HK29" s="4" t="str">
        <f t="shared" si="4"/>
        <v/>
      </c>
      <c r="HL29" s="4" t="str">
        <f t="shared" si="5"/>
        <v/>
      </c>
      <c r="HM29" s="4" t="str">
        <f t="shared" si="6"/>
        <v/>
      </c>
      <c r="HN29" s="4" t="str">
        <f t="shared" si="7"/>
        <v/>
      </c>
      <c r="HO29" s="4" t="str">
        <f t="shared" si="8"/>
        <v/>
      </c>
      <c r="HP29" s="4" t="str">
        <f t="shared" si="9"/>
        <v/>
      </c>
      <c r="HQ29" s="4" t="str">
        <f t="shared" si="10"/>
        <v/>
      </c>
      <c r="HR29" s="4" t="str">
        <f t="shared" si="11"/>
        <v/>
      </c>
      <c r="HS29" s="4" t="str">
        <f t="shared" si="12"/>
        <v/>
      </c>
      <c r="HT29" s="4" t="str">
        <f t="shared" si="13"/>
        <v/>
      </c>
      <c r="HU29" s="4" t="str">
        <f t="shared" si="14"/>
        <v/>
      </c>
      <c r="HV29" s="4" t="str">
        <f t="shared" si="15"/>
        <v/>
      </c>
      <c r="HW29" s="4" t="str">
        <f t="shared" si="16"/>
        <v/>
      </c>
      <c r="HX29" s="4" t="str">
        <f t="shared" si="17"/>
        <v/>
      </c>
      <c r="HY29" s="4" t="str">
        <f t="shared" si="18"/>
        <v/>
      </c>
      <c r="HZ29" s="4" t="str">
        <f t="shared" si="19"/>
        <v/>
      </c>
      <c r="IA29" s="4" t="str">
        <f t="shared" si="20"/>
        <v/>
      </c>
      <c r="IB29" s="4" t="str">
        <f t="shared" si="21"/>
        <v/>
      </c>
      <c r="IC29" s="4" t="str">
        <f t="shared" si="22"/>
        <v/>
      </c>
      <c r="ID29" s="4" t="str">
        <f t="shared" si="23"/>
        <v/>
      </c>
      <c r="IE29" s="4" t="str">
        <f t="shared" si="24"/>
        <v/>
      </c>
      <c r="IF29" s="4" t="str">
        <f t="shared" si="25"/>
        <v/>
      </c>
      <c r="IG29" s="4" t="str">
        <f t="shared" si="26"/>
        <v/>
      </c>
      <c r="IH29" s="4" t="str">
        <f t="shared" si="27"/>
        <v/>
      </c>
      <c r="II29" s="4" t="str">
        <f t="shared" si="28"/>
        <v/>
      </c>
      <c r="IJ29" s="4" t="str">
        <f t="shared" si="29"/>
        <v/>
      </c>
      <c r="IK29" s="4" t="str">
        <f t="shared" si="30"/>
        <v/>
      </c>
      <c r="IL29" s="4" t="str">
        <f t="shared" si="31"/>
        <v/>
      </c>
      <c r="IM29" s="4" t="str">
        <f t="shared" si="32"/>
        <v/>
      </c>
      <c r="IN29" s="4" t="str">
        <f t="shared" si="33"/>
        <v/>
      </c>
      <c r="IO29" s="4" t="str">
        <f t="shared" si="34"/>
        <v/>
      </c>
      <c r="IP29" s="4" t="str">
        <f t="shared" si="35"/>
        <v/>
      </c>
      <c r="IQ29" s="4" t="str">
        <f t="shared" si="36"/>
        <v/>
      </c>
      <c r="IR29" s="4" t="str">
        <f t="shared" si="37"/>
        <v/>
      </c>
      <c r="IS29" s="4" t="str">
        <f t="shared" si="38"/>
        <v/>
      </c>
      <c r="IT29" s="4" t="str">
        <f t="shared" si="39"/>
        <v/>
      </c>
      <c r="IU29" s="4" t="str">
        <f t="shared" si="40"/>
        <v/>
      </c>
      <c r="IV29" s="4" t="str">
        <f t="shared" si="41"/>
        <v/>
      </c>
      <c r="IW29" s="4" t="str">
        <f t="shared" si="42"/>
        <v/>
      </c>
      <c r="IX29" s="4" t="str">
        <f t="shared" si="43"/>
        <v/>
      </c>
      <c r="IY29" s="4" t="str">
        <f t="shared" si="44"/>
        <v/>
      </c>
      <c r="IZ29" s="4" t="str">
        <f t="shared" si="45"/>
        <v/>
      </c>
      <c r="JA29" s="4" t="str">
        <f t="shared" ref="JA29:JB29" si="245">if(ISERROR(SEARCH("Higher Education",BB29)),"","810")</f>
        <v/>
      </c>
      <c r="JB29" s="4" t="str">
        <f t="shared" si="245"/>
        <v/>
      </c>
      <c r="JC29" s="4" t="str">
        <f t="shared" si="47"/>
        <v/>
      </c>
      <c r="JD29" s="4" t="str">
        <f t="shared" si="48"/>
        <v/>
      </c>
      <c r="JE29" s="4" t="str">
        <f t="shared" si="49"/>
        <v/>
      </c>
      <c r="JF29" s="4" t="str">
        <f t="shared" si="50"/>
        <v/>
      </c>
      <c r="JG29" s="4" t="str">
        <f t="shared" si="51"/>
        <v/>
      </c>
      <c r="JH29" s="4" t="str">
        <f t="shared" si="52"/>
        <v/>
      </c>
      <c r="JI29" s="4" t="str">
        <f t="shared" si="53"/>
        <v/>
      </c>
      <c r="JJ29" s="4" t="str">
        <f t="shared" si="54"/>
        <v/>
      </c>
      <c r="JK29" s="4" t="str">
        <f t="shared" si="55"/>
        <v/>
      </c>
      <c r="JL29" s="4" t="str">
        <f t="shared" si="56"/>
        <v/>
      </c>
      <c r="JM29" s="4" t="str">
        <f t="shared" si="57"/>
        <v/>
      </c>
      <c r="JN29" s="4" t="str">
        <f t="shared" si="58"/>
        <v/>
      </c>
      <c r="JO29" s="4" t="str">
        <f t="shared" si="59"/>
        <v/>
      </c>
      <c r="JP29" s="4" t="str">
        <f t="shared" si="60"/>
        <v/>
      </c>
      <c r="JQ29" s="4" t="str">
        <f t="shared" si="61"/>
        <v/>
      </c>
      <c r="JR29" s="4" t="str">
        <f t="shared" si="62"/>
        <v/>
      </c>
      <c r="JS29" s="4" t="str">
        <f t="shared" si="63"/>
        <v/>
      </c>
      <c r="JT29" s="4" t="str">
        <f t="shared" si="64"/>
        <v/>
      </c>
      <c r="JU29" s="4" t="str">
        <f t="shared" si="65"/>
        <v/>
      </c>
      <c r="JV29" s="4" t="str">
        <f t="shared" si="66"/>
        <v/>
      </c>
      <c r="JW29" s="4" t="str">
        <f t="shared" si="67"/>
        <v/>
      </c>
      <c r="JX29" s="4" t="str">
        <f t="shared" si="68"/>
        <v/>
      </c>
      <c r="JY29" s="4" t="str">
        <f t="shared" si="69"/>
        <v/>
      </c>
      <c r="JZ29" s="4" t="str">
        <f t="shared" si="70"/>
        <v/>
      </c>
      <c r="KA29" s="4" t="str">
        <f t="shared" si="71"/>
        <v/>
      </c>
      <c r="KB29" s="4" t="str">
        <f t="shared" si="72"/>
        <v/>
      </c>
      <c r="KC29" s="4" t="str">
        <f t="shared" si="73"/>
        <v/>
      </c>
      <c r="KD29" s="4" t="str">
        <f t="shared" si="74"/>
        <v/>
      </c>
      <c r="KE29" s="4" t="str">
        <f t="shared" si="75"/>
        <v/>
      </c>
      <c r="KF29" s="4" t="str">
        <f t="shared" si="76"/>
        <v/>
      </c>
      <c r="KG29" s="4" t="str">
        <f t="shared" si="77"/>
        <v/>
      </c>
      <c r="KH29" s="4" t="str">
        <f t="shared" si="78"/>
        <v/>
      </c>
      <c r="KI29" s="4" t="str">
        <f t="shared" si="79"/>
        <v/>
      </c>
      <c r="KJ29" s="4" t="str">
        <f t="shared" si="80"/>
        <v/>
      </c>
      <c r="KK29" s="4" t="str">
        <f t="shared" si="81"/>
        <v/>
      </c>
      <c r="KL29" s="4" t="str">
        <f t="shared" si="82"/>
        <v/>
      </c>
      <c r="KM29" s="4" t="str">
        <f t="shared" si="83"/>
        <v/>
      </c>
      <c r="KN29" s="4" t="str">
        <f t="shared" si="84"/>
        <v/>
      </c>
      <c r="KO29" s="4" t="str">
        <f t="shared" si="85"/>
        <v/>
      </c>
      <c r="KP29" s="4" t="str">
        <f t="shared" si="86"/>
        <v/>
      </c>
      <c r="KQ29" s="4" t="str">
        <f t="shared" si="87"/>
        <v/>
      </c>
      <c r="KR29" s="4" t="str">
        <f t="shared" si="88"/>
        <v/>
      </c>
      <c r="KS29" s="4" t="str">
        <f t="shared" si="89"/>
        <v/>
      </c>
      <c r="KT29" s="4" t="str">
        <f t="shared" si="90"/>
        <v/>
      </c>
      <c r="KU29" s="4" t="str">
        <f t="shared" si="91"/>
        <v/>
      </c>
      <c r="KV29" s="4" t="str">
        <f t="shared" si="92"/>
        <v/>
      </c>
      <c r="KW29" s="4" t="str">
        <f t="shared" si="93"/>
        <v/>
      </c>
      <c r="KX29" s="4" t="str">
        <f t="shared" si="94"/>
        <v/>
      </c>
      <c r="KY29" s="4" t="str">
        <f t="shared" si="95"/>
        <v/>
      </c>
      <c r="KZ29" s="4" t="str">
        <f t="shared" si="96"/>
        <v/>
      </c>
      <c r="LA29" s="4" t="str">
        <f t="shared" si="97"/>
        <v/>
      </c>
      <c r="LB29" s="4" t="str">
        <f t="shared" si="98"/>
        <v/>
      </c>
      <c r="LC29" s="4" t="str">
        <f t="shared" si="99"/>
        <v/>
      </c>
      <c r="LD29" s="4" t="str">
        <f t="shared" si="100"/>
        <v/>
      </c>
      <c r="LE29" s="4" t="str">
        <f t="shared" si="101"/>
        <v/>
      </c>
      <c r="LF29" s="4" t="str">
        <f t="shared" si="102"/>
        <v/>
      </c>
      <c r="LG29" s="4" t="str">
        <f t="shared" si="103"/>
        <v/>
      </c>
      <c r="LH29" s="4" t="str">
        <f t="shared" si="104"/>
        <v/>
      </c>
      <c r="LI29" s="4" t="str">
        <f t="shared" si="105"/>
        <v/>
      </c>
      <c r="LJ29" s="4" t="str">
        <f t="shared" si="106"/>
        <v/>
      </c>
      <c r="LK29" s="4" t="str">
        <f t="shared" si="107"/>
        <v/>
      </c>
      <c r="LL29" s="4" t="str">
        <f t="shared" si="108"/>
        <v/>
      </c>
      <c r="LM29" s="4" t="str">
        <f t="shared" si="109"/>
        <v/>
      </c>
      <c r="LN29" s="4" t="str">
        <f t="shared" si="110"/>
        <v/>
      </c>
      <c r="LO29" s="4" t="str">
        <f t="shared" si="111"/>
        <v/>
      </c>
      <c r="LP29" s="4" t="str">
        <f t="shared" si="112"/>
        <v/>
      </c>
      <c r="LQ29" s="4" t="str">
        <f t="shared" si="113"/>
        <v/>
      </c>
      <c r="LR29" s="4" t="str">
        <f t="shared" si="114"/>
        <v/>
      </c>
      <c r="LS29" s="4" t="str">
        <f t="shared" si="115"/>
        <v/>
      </c>
      <c r="LT29" s="4" t="str">
        <f t="shared" si="116"/>
        <v/>
      </c>
      <c r="LU29" s="4" t="str">
        <f t="shared" si="117"/>
        <v/>
      </c>
      <c r="LV29" s="4" t="str">
        <f t="shared" si="118"/>
        <v/>
      </c>
      <c r="LW29" s="4" t="str">
        <f t="shared" si="119"/>
        <v/>
      </c>
      <c r="LX29" s="4" t="str">
        <f t="shared" si="120"/>
        <v/>
      </c>
      <c r="LY29" s="4" t="str">
        <f t="shared" si="121"/>
        <v/>
      </c>
      <c r="LZ29" s="4" t="str">
        <f t="shared" si="122"/>
        <v/>
      </c>
      <c r="MA29" s="4" t="str">
        <f t="shared" si="123"/>
        <v/>
      </c>
      <c r="MB29" s="4" t="str">
        <f t="shared" si="124"/>
        <v/>
      </c>
      <c r="MC29" s="4" t="str">
        <f t="shared" si="125"/>
        <v/>
      </c>
      <c r="MD29" s="4" t="str">
        <f t="shared" si="126"/>
        <v/>
      </c>
      <c r="ME29" s="4" t="str">
        <f t="shared" si="127"/>
        <v/>
      </c>
      <c r="MF29" s="4" t="str">
        <f t="shared" si="128"/>
        <v/>
      </c>
      <c r="MG29" s="4" t="str">
        <f t="shared" si="129"/>
        <v/>
      </c>
      <c r="MH29" s="4" t="str">
        <f t="shared" si="130"/>
        <v/>
      </c>
      <c r="MI29" s="4" t="str">
        <f t="shared" si="131"/>
        <v/>
      </c>
      <c r="MJ29" s="4" t="str">
        <f t="shared" si="132"/>
        <v/>
      </c>
      <c r="MK29" s="4" t="str">
        <f t="shared" si="133"/>
        <v/>
      </c>
      <c r="ML29" s="4" t="str">
        <f t="shared" si="134"/>
        <v/>
      </c>
      <c r="MM29" s="4" t="str">
        <f t="shared" si="135"/>
        <v/>
      </c>
      <c r="MN29" s="4" t="str">
        <f t="shared" si="136"/>
        <v/>
      </c>
      <c r="MO29" s="4" t="str">
        <f t="shared" si="137"/>
        <v/>
      </c>
      <c r="MP29" s="4" t="str">
        <f t="shared" si="138"/>
        <v/>
      </c>
      <c r="MQ29" s="4" t="str">
        <f t="shared" si="139"/>
        <v/>
      </c>
      <c r="MR29" s="4" t="str">
        <f t="shared" si="140"/>
        <v/>
      </c>
      <c r="MS29" s="4" t="str">
        <f t="shared" si="141"/>
        <v/>
      </c>
      <c r="MT29" s="4" t="str">
        <f t="shared" si="142"/>
        <v/>
      </c>
      <c r="MU29" s="4" t="str">
        <f t="shared" si="143"/>
        <v/>
      </c>
      <c r="MV29" s="4" t="str">
        <f t="shared" si="144"/>
        <v/>
      </c>
      <c r="MW29" s="4" t="str">
        <f t="shared" si="145"/>
        <v/>
      </c>
      <c r="MX29" s="4" t="str">
        <f t="shared" si="146"/>
        <v/>
      </c>
      <c r="MY29" s="4" t="str">
        <f t="shared" si="147"/>
        <v/>
      </c>
      <c r="MZ29" s="4" t="str">
        <f t="shared" si="148"/>
        <v/>
      </c>
      <c r="NA29" s="4" t="str">
        <f t="shared" si="149"/>
        <v/>
      </c>
      <c r="NB29" s="4" t="str">
        <f t="shared" si="150"/>
        <v/>
      </c>
      <c r="NC29" s="4" t="str">
        <f t="shared" si="151"/>
        <v/>
      </c>
      <c r="ND29" s="4" t="str">
        <f t="shared" si="152"/>
        <v/>
      </c>
      <c r="NE29" s="4" t="str">
        <f t="shared" si="153"/>
        <v/>
      </c>
      <c r="NF29" s="4" t="str">
        <f t="shared" si="154"/>
        <v/>
      </c>
      <c r="NG29" s="4" t="str">
        <f t="shared" si="155"/>
        <v/>
      </c>
      <c r="NH29" s="4" t="str">
        <f t="shared" si="156"/>
        <v/>
      </c>
      <c r="NI29" s="4" t="str">
        <f t="shared" si="157"/>
        <v/>
      </c>
      <c r="NJ29" s="4" t="str">
        <f t="shared" si="158"/>
        <v/>
      </c>
      <c r="NK29" s="4" t="str">
        <f t="shared" si="159"/>
        <v/>
      </c>
      <c r="NL29" s="4" t="str">
        <f t="shared" si="160"/>
        <v/>
      </c>
      <c r="NM29" s="4" t="str">
        <f t="shared" si="161"/>
        <v/>
      </c>
      <c r="NN29" s="4" t="str">
        <f t="shared" si="162"/>
        <v/>
      </c>
      <c r="NO29" s="4" t="str">
        <f t="shared" si="163"/>
        <v/>
      </c>
      <c r="NP29" s="4" t="str">
        <f t="shared" si="164"/>
        <v/>
      </c>
      <c r="NQ29" s="4" t="str">
        <f t="shared" si="165"/>
        <v/>
      </c>
      <c r="NR29" s="4" t="str">
        <f t="shared" si="166"/>
        <v/>
      </c>
      <c r="NS29" s="4" t="str">
        <f t="shared" si="167"/>
        <v/>
      </c>
      <c r="NT29" s="4" t="str">
        <f t="shared" si="168"/>
        <v/>
      </c>
      <c r="NU29" s="4" t="str">
        <f t="shared" si="169"/>
        <v/>
      </c>
      <c r="NV29" s="4" t="str">
        <f t="shared" si="170"/>
        <v/>
      </c>
      <c r="NW29" s="4" t="str">
        <f t="shared" si="171"/>
        <v/>
      </c>
      <c r="NX29" s="4" t="str">
        <f t="shared" si="172"/>
        <v/>
      </c>
      <c r="NY29" s="4" t="str">
        <f t="shared" si="173"/>
        <v/>
      </c>
      <c r="NZ29" s="4" t="str">
        <f t="shared" si="174"/>
        <v/>
      </c>
      <c r="OA29" s="4" t="str">
        <f t="shared" si="175"/>
        <v/>
      </c>
      <c r="OB29" s="4" t="str">
        <f t="shared" si="176"/>
        <v/>
      </c>
      <c r="OC29" s="4" t="str">
        <f t="shared" si="177"/>
        <v/>
      </c>
      <c r="OD29" s="4" t="str">
        <f t="shared" si="178"/>
        <v/>
      </c>
      <c r="OE29" s="4" t="str">
        <f t="shared" si="179"/>
        <v/>
      </c>
      <c r="OF29" s="4" t="str">
        <f t="shared" si="180"/>
        <v/>
      </c>
      <c r="OG29" s="4" t="str">
        <f t="shared" si="181"/>
        <v/>
      </c>
      <c r="OH29" s="4" t="str">
        <f t="shared" si="182"/>
        <v/>
      </c>
      <c r="OI29" s="4" t="str">
        <f t="shared" si="183"/>
        <v/>
      </c>
      <c r="OJ29" s="4" t="str">
        <f t="shared" si="184"/>
        <v/>
      </c>
      <c r="OK29" s="4" t="str">
        <f t="shared" si="185"/>
        <v/>
      </c>
      <c r="OL29" s="4" t="str">
        <f t="shared" si="186"/>
        <v/>
      </c>
      <c r="OM29" s="4" t="str">
        <f t="shared" si="187"/>
        <v/>
      </c>
      <c r="ON29" s="4" t="str">
        <f t="shared" si="188"/>
        <v/>
      </c>
      <c r="OO29" s="4" t="str">
        <f t="shared" si="189"/>
        <v/>
      </c>
      <c r="OP29" s="4" t="str">
        <f t="shared" si="190"/>
        <v/>
      </c>
      <c r="OQ29" s="4" t="str">
        <f t="shared" si="191"/>
        <v/>
      </c>
      <c r="OR29" s="4" t="str">
        <f t="shared" si="192"/>
        <v/>
      </c>
      <c r="OS29" s="4" t="str">
        <f t="shared" si="193"/>
        <v/>
      </c>
      <c r="OT29" s="4" t="str">
        <f t="shared" si="194"/>
        <v/>
      </c>
      <c r="OU29" s="4" t="str">
        <f t="shared" si="195"/>
        <v/>
      </c>
      <c r="OV29" s="4" t="str">
        <f t="shared" si="196"/>
        <v/>
      </c>
      <c r="OW29" s="4" t="str">
        <f t="shared" si="197"/>
        <v/>
      </c>
      <c r="OX29" s="4" t="str">
        <f t="shared" si="198"/>
        <v/>
      </c>
      <c r="OY29" s="4" t="str">
        <f t="shared" si="199"/>
        <v/>
      </c>
      <c r="OZ29" s="4" t="str">
        <f t="shared" si="200"/>
        <v/>
      </c>
      <c r="PA29" s="4" t="str">
        <f t="shared" si="201"/>
        <v/>
      </c>
      <c r="PB29" s="4" t="str">
        <f t="shared" si="202"/>
        <v/>
      </c>
      <c r="PC29" s="4" t="str">
        <f t="shared" si="203"/>
        <v/>
      </c>
      <c r="PD29" s="4" t="str">
        <f t="shared" si="204"/>
        <v/>
      </c>
      <c r="PE29" s="4" t="str">
        <f t="shared" si="205"/>
        <v/>
      </c>
      <c r="PF29" s="4" t="str">
        <f t="shared" si="206"/>
        <v/>
      </c>
      <c r="PG29" s="4" t="str">
        <f t="shared" si="207"/>
        <v/>
      </c>
      <c r="PH29" s="4" t="str">
        <f t="shared" si="208"/>
        <v/>
      </c>
      <c r="PI29" s="4" t="str">
        <f t="shared" si="209"/>
        <v/>
      </c>
      <c r="PJ29" s="4" t="str">
        <f t="shared" si="210"/>
        <v/>
      </c>
      <c r="PK29" s="4" t="str">
        <f t="shared" si="211"/>
        <v/>
      </c>
      <c r="PL29" s="4" t="str">
        <f t="shared" si="212"/>
        <v/>
      </c>
      <c r="PM29" s="4" t="str">
        <f t="shared" si="213"/>
        <v/>
      </c>
      <c r="PN29" s="4" t="str">
        <f t="shared" si="214"/>
        <v/>
      </c>
      <c r="PO29" s="4" t="str">
        <f t="shared" si="215"/>
        <v/>
      </c>
      <c r="PP29" s="4" t="str">
        <f t="shared" si="216"/>
        <v/>
      </c>
      <c r="PQ29" s="4" t="str">
        <f t="shared" si="217"/>
        <v/>
      </c>
      <c r="PR29" s="4" t="str">
        <f t="shared" si="218"/>
        <v/>
      </c>
      <c r="PS29" s="4" t="str">
        <f t="shared" si="219"/>
        <v/>
      </c>
    </row>
    <row r="30">
      <c r="HI30" s="4" t="str">
        <f t="shared" si="2"/>
        <v/>
      </c>
      <c r="HJ30" s="4" t="str">
        <f t="shared" si="3"/>
        <v/>
      </c>
      <c r="HK30" s="4" t="str">
        <f t="shared" si="4"/>
        <v/>
      </c>
      <c r="HL30" s="4" t="str">
        <f t="shared" si="5"/>
        <v/>
      </c>
      <c r="HM30" s="4" t="str">
        <f t="shared" si="6"/>
        <v/>
      </c>
      <c r="HN30" s="4" t="str">
        <f t="shared" si="7"/>
        <v/>
      </c>
      <c r="HO30" s="4" t="str">
        <f t="shared" si="8"/>
        <v/>
      </c>
      <c r="HP30" s="4" t="str">
        <f t="shared" si="9"/>
        <v/>
      </c>
      <c r="HQ30" s="4" t="str">
        <f t="shared" si="10"/>
        <v/>
      </c>
      <c r="HR30" s="4" t="str">
        <f t="shared" si="11"/>
        <v/>
      </c>
      <c r="HS30" s="4" t="str">
        <f t="shared" si="12"/>
        <v/>
      </c>
      <c r="HT30" s="4" t="str">
        <f t="shared" si="13"/>
        <v/>
      </c>
      <c r="HU30" s="4" t="str">
        <f t="shared" si="14"/>
        <v/>
      </c>
      <c r="HV30" s="4" t="str">
        <f t="shared" si="15"/>
        <v/>
      </c>
      <c r="HW30" s="4" t="str">
        <f t="shared" si="16"/>
        <v/>
      </c>
      <c r="HX30" s="4" t="str">
        <f t="shared" si="17"/>
        <v/>
      </c>
      <c r="HY30" s="4" t="str">
        <f t="shared" si="18"/>
        <v/>
      </c>
      <c r="HZ30" s="4" t="str">
        <f t="shared" si="19"/>
        <v/>
      </c>
      <c r="IA30" s="4" t="str">
        <f t="shared" si="20"/>
        <v/>
      </c>
      <c r="IB30" s="4" t="str">
        <f t="shared" si="21"/>
        <v/>
      </c>
      <c r="IC30" s="4" t="str">
        <f t="shared" si="22"/>
        <v/>
      </c>
      <c r="ID30" s="4" t="str">
        <f t="shared" si="23"/>
        <v/>
      </c>
      <c r="IE30" s="4" t="str">
        <f t="shared" si="24"/>
        <v/>
      </c>
      <c r="IF30" s="4" t="str">
        <f t="shared" si="25"/>
        <v/>
      </c>
      <c r="IG30" s="4" t="str">
        <f t="shared" si="26"/>
        <v/>
      </c>
      <c r="IH30" s="4" t="str">
        <f t="shared" si="27"/>
        <v/>
      </c>
      <c r="II30" s="4" t="str">
        <f t="shared" si="28"/>
        <v/>
      </c>
      <c r="IJ30" s="4" t="str">
        <f t="shared" si="29"/>
        <v/>
      </c>
      <c r="IK30" s="4" t="str">
        <f t="shared" si="30"/>
        <v/>
      </c>
      <c r="IL30" s="4" t="str">
        <f t="shared" si="31"/>
        <v/>
      </c>
      <c r="IM30" s="4" t="str">
        <f t="shared" si="32"/>
        <v/>
      </c>
      <c r="IN30" s="4" t="str">
        <f t="shared" si="33"/>
        <v/>
      </c>
      <c r="IO30" s="4" t="str">
        <f t="shared" si="34"/>
        <v/>
      </c>
      <c r="IP30" s="4" t="str">
        <f t="shared" si="35"/>
        <v/>
      </c>
      <c r="IQ30" s="4" t="str">
        <f t="shared" si="36"/>
        <v/>
      </c>
      <c r="IR30" s="4" t="str">
        <f t="shared" si="37"/>
        <v/>
      </c>
      <c r="IS30" s="4" t="str">
        <f t="shared" si="38"/>
        <v/>
      </c>
      <c r="IT30" s="4" t="str">
        <f t="shared" si="39"/>
        <v/>
      </c>
      <c r="IU30" s="4" t="str">
        <f t="shared" si="40"/>
        <v/>
      </c>
      <c r="IV30" s="4" t="str">
        <f t="shared" si="41"/>
        <v/>
      </c>
      <c r="IW30" s="4" t="str">
        <f t="shared" si="42"/>
        <v/>
      </c>
      <c r="IX30" s="4" t="str">
        <f t="shared" si="43"/>
        <v/>
      </c>
      <c r="IY30" s="4" t="str">
        <f t="shared" si="44"/>
        <v/>
      </c>
      <c r="IZ30" s="4" t="str">
        <f t="shared" si="45"/>
        <v/>
      </c>
      <c r="JA30" s="4" t="str">
        <f t="shared" ref="JA30:JB30" si="246">if(ISERROR(SEARCH("Higher Education",BB30)),"","810")</f>
        <v/>
      </c>
      <c r="JB30" s="4" t="str">
        <f t="shared" si="246"/>
        <v/>
      </c>
      <c r="JC30" s="4" t="str">
        <f t="shared" si="47"/>
        <v/>
      </c>
      <c r="JD30" s="4" t="str">
        <f t="shared" si="48"/>
        <v/>
      </c>
      <c r="JE30" s="4" t="str">
        <f t="shared" si="49"/>
        <v/>
      </c>
      <c r="JF30" s="4" t="str">
        <f t="shared" si="50"/>
        <v/>
      </c>
      <c r="JG30" s="4" t="str">
        <f t="shared" si="51"/>
        <v/>
      </c>
      <c r="JH30" s="4" t="str">
        <f t="shared" si="52"/>
        <v/>
      </c>
      <c r="JI30" s="4" t="str">
        <f t="shared" si="53"/>
        <v/>
      </c>
      <c r="JJ30" s="4" t="str">
        <f t="shared" si="54"/>
        <v/>
      </c>
      <c r="JK30" s="4" t="str">
        <f t="shared" si="55"/>
        <v/>
      </c>
      <c r="JL30" s="4" t="str">
        <f t="shared" si="56"/>
        <v/>
      </c>
      <c r="JM30" s="4" t="str">
        <f t="shared" si="57"/>
        <v/>
      </c>
      <c r="JN30" s="4" t="str">
        <f t="shared" si="58"/>
        <v/>
      </c>
      <c r="JO30" s="4" t="str">
        <f t="shared" si="59"/>
        <v/>
      </c>
      <c r="JP30" s="4" t="str">
        <f t="shared" si="60"/>
        <v/>
      </c>
      <c r="JQ30" s="4" t="str">
        <f t="shared" si="61"/>
        <v/>
      </c>
      <c r="JR30" s="4" t="str">
        <f t="shared" si="62"/>
        <v/>
      </c>
      <c r="JS30" s="4" t="str">
        <f t="shared" si="63"/>
        <v/>
      </c>
      <c r="JT30" s="4" t="str">
        <f t="shared" si="64"/>
        <v/>
      </c>
      <c r="JU30" s="4" t="str">
        <f t="shared" si="65"/>
        <v/>
      </c>
      <c r="JV30" s="4" t="str">
        <f t="shared" si="66"/>
        <v/>
      </c>
      <c r="JW30" s="4" t="str">
        <f t="shared" si="67"/>
        <v/>
      </c>
      <c r="JX30" s="4" t="str">
        <f t="shared" si="68"/>
        <v/>
      </c>
      <c r="JY30" s="4" t="str">
        <f t="shared" si="69"/>
        <v/>
      </c>
      <c r="JZ30" s="4" t="str">
        <f t="shared" si="70"/>
        <v/>
      </c>
      <c r="KA30" s="4" t="str">
        <f t="shared" si="71"/>
        <v/>
      </c>
      <c r="KB30" s="4" t="str">
        <f t="shared" si="72"/>
        <v/>
      </c>
      <c r="KC30" s="4" t="str">
        <f t="shared" si="73"/>
        <v/>
      </c>
      <c r="KD30" s="4" t="str">
        <f t="shared" si="74"/>
        <v/>
      </c>
      <c r="KE30" s="4" t="str">
        <f t="shared" si="75"/>
        <v/>
      </c>
      <c r="KF30" s="4" t="str">
        <f t="shared" si="76"/>
        <v/>
      </c>
      <c r="KG30" s="4" t="str">
        <f t="shared" si="77"/>
        <v/>
      </c>
      <c r="KH30" s="4" t="str">
        <f t="shared" si="78"/>
        <v/>
      </c>
      <c r="KI30" s="4" t="str">
        <f t="shared" si="79"/>
        <v/>
      </c>
      <c r="KJ30" s="4" t="str">
        <f t="shared" si="80"/>
        <v/>
      </c>
      <c r="KK30" s="4" t="str">
        <f t="shared" si="81"/>
        <v/>
      </c>
      <c r="KL30" s="4" t="str">
        <f t="shared" si="82"/>
        <v/>
      </c>
      <c r="KM30" s="4" t="str">
        <f t="shared" si="83"/>
        <v/>
      </c>
      <c r="KN30" s="4" t="str">
        <f t="shared" si="84"/>
        <v/>
      </c>
      <c r="KO30" s="4" t="str">
        <f t="shared" si="85"/>
        <v/>
      </c>
      <c r="KP30" s="4" t="str">
        <f t="shared" si="86"/>
        <v/>
      </c>
      <c r="KQ30" s="4" t="str">
        <f t="shared" si="87"/>
        <v/>
      </c>
      <c r="KR30" s="4" t="str">
        <f t="shared" si="88"/>
        <v/>
      </c>
      <c r="KS30" s="4" t="str">
        <f t="shared" si="89"/>
        <v/>
      </c>
      <c r="KT30" s="4" t="str">
        <f t="shared" si="90"/>
        <v/>
      </c>
      <c r="KU30" s="4" t="str">
        <f t="shared" si="91"/>
        <v/>
      </c>
      <c r="KV30" s="4" t="str">
        <f t="shared" si="92"/>
        <v/>
      </c>
      <c r="KW30" s="4" t="str">
        <f t="shared" si="93"/>
        <v/>
      </c>
      <c r="KX30" s="4" t="str">
        <f t="shared" si="94"/>
        <v/>
      </c>
      <c r="KY30" s="4" t="str">
        <f t="shared" si="95"/>
        <v/>
      </c>
      <c r="KZ30" s="4" t="str">
        <f t="shared" si="96"/>
        <v/>
      </c>
      <c r="LA30" s="4" t="str">
        <f t="shared" si="97"/>
        <v/>
      </c>
      <c r="LB30" s="4" t="str">
        <f t="shared" si="98"/>
        <v/>
      </c>
      <c r="LC30" s="4" t="str">
        <f t="shared" si="99"/>
        <v/>
      </c>
      <c r="LD30" s="4" t="str">
        <f t="shared" si="100"/>
        <v/>
      </c>
      <c r="LE30" s="4" t="str">
        <f t="shared" si="101"/>
        <v/>
      </c>
      <c r="LF30" s="4" t="str">
        <f t="shared" si="102"/>
        <v/>
      </c>
      <c r="LG30" s="4" t="str">
        <f t="shared" si="103"/>
        <v/>
      </c>
      <c r="LH30" s="4" t="str">
        <f t="shared" si="104"/>
        <v/>
      </c>
      <c r="LI30" s="4" t="str">
        <f t="shared" si="105"/>
        <v/>
      </c>
      <c r="LJ30" s="4" t="str">
        <f t="shared" si="106"/>
        <v/>
      </c>
      <c r="LK30" s="4" t="str">
        <f t="shared" si="107"/>
        <v/>
      </c>
      <c r="LL30" s="4" t="str">
        <f t="shared" si="108"/>
        <v/>
      </c>
      <c r="LM30" s="4" t="str">
        <f t="shared" si="109"/>
        <v/>
      </c>
      <c r="LN30" s="4" t="str">
        <f t="shared" si="110"/>
        <v/>
      </c>
      <c r="LO30" s="4" t="str">
        <f t="shared" si="111"/>
        <v/>
      </c>
      <c r="LP30" s="4" t="str">
        <f t="shared" si="112"/>
        <v/>
      </c>
      <c r="LQ30" s="4" t="str">
        <f t="shared" si="113"/>
        <v/>
      </c>
      <c r="LR30" s="4" t="str">
        <f t="shared" si="114"/>
        <v/>
      </c>
      <c r="LS30" s="4" t="str">
        <f t="shared" si="115"/>
        <v/>
      </c>
      <c r="LT30" s="4" t="str">
        <f t="shared" si="116"/>
        <v/>
      </c>
      <c r="LU30" s="4" t="str">
        <f t="shared" si="117"/>
        <v/>
      </c>
      <c r="LV30" s="4" t="str">
        <f t="shared" si="118"/>
        <v/>
      </c>
      <c r="LW30" s="4" t="str">
        <f t="shared" si="119"/>
        <v/>
      </c>
      <c r="LX30" s="4" t="str">
        <f t="shared" si="120"/>
        <v/>
      </c>
      <c r="LY30" s="4" t="str">
        <f t="shared" si="121"/>
        <v/>
      </c>
      <c r="LZ30" s="4" t="str">
        <f t="shared" si="122"/>
        <v/>
      </c>
      <c r="MA30" s="4" t="str">
        <f t="shared" si="123"/>
        <v/>
      </c>
      <c r="MB30" s="4" t="str">
        <f t="shared" si="124"/>
        <v/>
      </c>
      <c r="MC30" s="4" t="str">
        <f t="shared" si="125"/>
        <v/>
      </c>
      <c r="MD30" s="4" t="str">
        <f t="shared" si="126"/>
        <v/>
      </c>
      <c r="ME30" s="4" t="str">
        <f t="shared" si="127"/>
        <v/>
      </c>
      <c r="MF30" s="4" t="str">
        <f t="shared" si="128"/>
        <v/>
      </c>
      <c r="MG30" s="4" t="str">
        <f t="shared" si="129"/>
        <v/>
      </c>
      <c r="MH30" s="4" t="str">
        <f t="shared" si="130"/>
        <v/>
      </c>
      <c r="MI30" s="4" t="str">
        <f t="shared" si="131"/>
        <v/>
      </c>
      <c r="MJ30" s="4" t="str">
        <f t="shared" si="132"/>
        <v/>
      </c>
      <c r="MK30" s="4" t="str">
        <f t="shared" si="133"/>
        <v/>
      </c>
      <c r="ML30" s="4" t="str">
        <f t="shared" si="134"/>
        <v/>
      </c>
      <c r="MM30" s="4" t="str">
        <f t="shared" si="135"/>
        <v/>
      </c>
      <c r="MN30" s="4" t="str">
        <f t="shared" si="136"/>
        <v/>
      </c>
      <c r="MO30" s="4" t="str">
        <f t="shared" si="137"/>
        <v/>
      </c>
      <c r="MP30" s="4" t="str">
        <f t="shared" si="138"/>
        <v/>
      </c>
      <c r="MQ30" s="4" t="str">
        <f t="shared" si="139"/>
        <v/>
      </c>
      <c r="MR30" s="4" t="str">
        <f t="shared" si="140"/>
        <v/>
      </c>
      <c r="MS30" s="4" t="str">
        <f t="shared" si="141"/>
        <v/>
      </c>
      <c r="MT30" s="4" t="str">
        <f t="shared" si="142"/>
        <v/>
      </c>
      <c r="MU30" s="4" t="str">
        <f t="shared" si="143"/>
        <v/>
      </c>
      <c r="MV30" s="4" t="str">
        <f t="shared" si="144"/>
        <v/>
      </c>
      <c r="MW30" s="4" t="str">
        <f t="shared" si="145"/>
        <v/>
      </c>
      <c r="MX30" s="4" t="str">
        <f t="shared" si="146"/>
        <v/>
      </c>
      <c r="MY30" s="4" t="str">
        <f t="shared" si="147"/>
        <v/>
      </c>
      <c r="MZ30" s="4" t="str">
        <f t="shared" si="148"/>
        <v/>
      </c>
      <c r="NA30" s="4" t="str">
        <f t="shared" si="149"/>
        <v/>
      </c>
      <c r="NB30" s="4" t="str">
        <f t="shared" si="150"/>
        <v/>
      </c>
      <c r="NC30" s="4" t="str">
        <f t="shared" si="151"/>
        <v/>
      </c>
      <c r="ND30" s="4" t="str">
        <f t="shared" si="152"/>
        <v/>
      </c>
      <c r="NE30" s="4" t="str">
        <f t="shared" si="153"/>
        <v/>
      </c>
      <c r="NF30" s="4" t="str">
        <f t="shared" si="154"/>
        <v/>
      </c>
      <c r="NG30" s="4" t="str">
        <f t="shared" si="155"/>
        <v/>
      </c>
      <c r="NH30" s="4" t="str">
        <f t="shared" si="156"/>
        <v/>
      </c>
      <c r="NI30" s="4" t="str">
        <f t="shared" si="157"/>
        <v/>
      </c>
      <c r="NJ30" s="4" t="str">
        <f t="shared" si="158"/>
        <v/>
      </c>
      <c r="NK30" s="4" t="str">
        <f t="shared" si="159"/>
        <v/>
      </c>
      <c r="NL30" s="4" t="str">
        <f t="shared" si="160"/>
        <v/>
      </c>
      <c r="NM30" s="4" t="str">
        <f t="shared" si="161"/>
        <v/>
      </c>
      <c r="NN30" s="4" t="str">
        <f t="shared" si="162"/>
        <v/>
      </c>
      <c r="NO30" s="4" t="str">
        <f t="shared" si="163"/>
        <v/>
      </c>
      <c r="NP30" s="4" t="str">
        <f t="shared" si="164"/>
        <v/>
      </c>
      <c r="NQ30" s="4" t="str">
        <f t="shared" si="165"/>
        <v/>
      </c>
      <c r="NR30" s="4" t="str">
        <f t="shared" si="166"/>
        <v/>
      </c>
      <c r="NS30" s="4" t="str">
        <f t="shared" si="167"/>
        <v/>
      </c>
      <c r="NT30" s="4" t="str">
        <f t="shared" si="168"/>
        <v/>
      </c>
      <c r="NU30" s="4" t="str">
        <f t="shared" si="169"/>
        <v/>
      </c>
      <c r="NV30" s="4" t="str">
        <f t="shared" si="170"/>
        <v/>
      </c>
      <c r="NW30" s="4" t="str">
        <f t="shared" si="171"/>
        <v/>
      </c>
      <c r="NX30" s="4" t="str">
        <f t="shared" si="172"/>
        <v/>
      </c>
      <c r="NY30" s="4" t="str">
        <f t="shared" si="173"/>
        <v/>
      </c>
      <c r="NZ30" s="4" t="str">
        <f t="shared" si="174"/>
        <v/>
      </c>
      <c r="OA30" s="4" t="str">
        <f t="shared" si="175"/>
        <v/>
      </c>
      <c r="OB30" s="4" t="str">
        <f t="shared" si="176"/>
        <v/>
      </c>
      <c r="OC30" s="4" t="str">
        <f t="shared" si="177"/>
        <v/>
      </c>
      <c r="OD30" s="4" t="str">
        <f t="shared" si="178"/>
        <v/>
      </c>
      <c r="OE30" s="4" t="str">
        <f t="shared" si="179"/>
        <v/>
      </c>
      <c r="OF30" s="4" t="str">
        <f t="shared" si="180"/>
        <v/>
      </c>
      <c r="OG30" s="4" t="str">
        <f t="shared" si="181"/>
        <v/>
      </c>
      <c r="OH30" s="4" t="str">
        <f t="shared" si="182"/>
        <v/>
      </c>
      <c r="OI30" s="4" t="str">
        <f t="shared" si="183"/>
        <v/>
      </c>
      <c r="OJ30" s="4" t="str">
        <f t="shared" si="184"/>
        <v/>
      </c>
      <c r="OK30" s="4" t="str">
        <f t="shared" si="185"/>
        <v/>
      </c>
      <c r="OL30" s="4" t="str">
        <f t="shared" si="186"/>
        <v/>
      </c>
      <c r="OM30" s="4" t="str">
        <f t="shared" si="187"/>
        <v/>
      </c>
      <c r="ON30" s="4" t="str">
        <f t="shared" si="188"/>
        <v/>
      </c>
      <c r="OO30" s="4" t="str">
        <f t="shared" si="189"/>
        <v/>
      </c>
      <c r="OP30" s="4" t="str">
        <f t="shared" si="190"/>
        <v/>
      </c>
      <c r="OQ30" s="4" t="str">
        <f t="shared" si="191"/>
        <v/>
      </c>
      <c r="OR30" s="4" t="str">
        <f t="shared" si="192"/>
        <v/>
      </c>
      <c r="OS30" s="4" t="str">
        <f t="shared" si="193"/>
        <v/>
      </c>
      <c r="OT30" s="4" t="str">
        <f t="shared" si="194"/>
        <v/>
      </c>
      <c r="OU30" s="4" t="str">
        <f t="shared" si="195"/>
        <v/>
      </c>
      <c r="OV30" s="4" t="str">
        <f t="shared" si="196"/>
        <v/>
      </c>
      <c r="OW30" s="4" t="str">
        <f t="shared" si="197"/>
        <v/>
      </c>
      <c r="OX30" s="4" t="str">
        <f t="shared" si="198"/>
        <v/>
      </c>
      <c r="OY30" s="4" t="str">
        <f t="shared" si="199"/>
        <v/>
      </c>
      <c r="OZ30" s="4" t="str">
        <f t="shared" si="200"/>
        <v/>
      </c>
      <c r="PA30" s="4" t="str">
        <f t="shared" si="201"/>
        <v/>
      </c>
      <c r="PB30" s="4" t="str">
        <f t="shared" si="202"/>
        <v/>
      </c>
      <c r="PC30" s="4" t="str">
        <f t="shared" si="203"/>
        <v/>
      </c>
      <c r="PD30" s="4" t="str">
        <f t="shared" si="204"/>
        <v/>
      </c>
      <c r="PE30" s="4" t="str">
        <f t="shared" si="205"/>
        <v/>
      </c>
      <c r="PF30" s="4" t="str">
        <f t="shared" si="206"/>
        <v/>
      </c>
      <c r="PG30" s="4" t="str">
        <f t="shared" si="207"/>
        <v/>
      </c>
      <c r="PH30" s="4" t="str">
        <f t="shared" si="208"/>
        <v/>
      </c>
      <c r="PI30" s="4" t="str">
        <f t="shared" si="209"/>
        <v/>
      </c>
      <c r="PJ30" s="4" t="str">
        <f t="shared" si="210"/>
        <v/>
      </c>
      <c r="PK30" s="4" t="str">
        <f t="shared" si="211"/>
        <v/>
      </c>
      <c r="PL30" s="4" t="str">
        <f t="shared" si="212"/>
        <v/>
      </c>
      <c r="PM30" s="4" t="str">
        <f t="shared" si="213"/>
        <v/>
      </c>
      <c r="PN30" s="4" t="str">
        <f t="shared" si="214"/>
        <v/>
      </c>
      <c r="PO30" s="4" t="str">
        <f t="shared" si="215"/>
        <v/>
      </c>
      <c r="PP30" s="4" t="str">
        <f t="shared" si="216"/>
        <v/>
      </c>
      <c r="PQ30" s="4" t="str">
        <f t="shared" si="217"/>
        <v/>
      </c>
      <c r="PR30" s="4" t="str">
        <f t="shared" si="218"/>
        <v/>
      </c>
      <c r="PS30" s="4" t="str">
        <f t="shared" si="219"/>
        <v/>
      </c>
    </row>
    <row r="31">
      <c r="HI31" s="4" t="str">
        <f t="shared" si="2"/>
        <v/>
      </c>
      <c r="HJ31" s="4" t="str">
        <f t="shared" si="3"/>
        <v/>
      </c>
      <c r="HK31" s="4" t="str">
        <f t="shared" si="4"/>
        <v/>
      </c>
      <c r="HL31" s="4" t="str">
        <f t="shared" si="5"/>
        <v/>
      </c>
      <c r="HM31" s="4" t="str">
        <f t="shared" si="6"/>
        <v/>
      </c>
      <c r="HN31" s="4" t="str">
        <f t="shared" si="7"/>
        <v/>
      </c>
      <c r="HO31" s="4" t="str">
        <f t="shared" si="8"/>
        <v/>
      </c>
      <c r="HP31" s="4" t="str">
        <f t="shared" si="9"/>
        <v/>
      </c>
      <c r="HQ31" s="4" t="str">
        <f t="shared" si="10"/>
        <v/>
      </c>
      <c r="HR31" s="4" t="str">
        <f t="shared" si="11"/>
        <v/>
      </c>
      <c r="HS31" s="4" t="str">
        <f t="shared" si="12"/>
        <v/>
      </c>
      <c r="HT31" s="4" t="str">
        <f t="shared" si="13"/>
        <v/>
      </c>
      <c r="HU31" s="4" t="str">
        <f t="shared" si="14"/>
        <v/>
      </c>
      <c r="HV31" s="4" t="str">
        <f t="shared" si="15"/>
        <v/>
      </c>
      <c r="HW31" s="4" t="str">
        <f t="shared" si="16"/>
        <v/>
      </c>
      <c r="HX31" s="4" t="str">
        <f t="shared" si="17"/>
        <v/>
      </c>
      <c r="HY31" s="4" t="str">
        <f t="shared" si="18"/>
        <v/>
      </c>
      <c r="HZ31" s="4" t="str">
        <f t="shared" si="19"/>
        <v/>
      </c>
      <c r="IA31" s="4" t="str">
        <f t="shared" si="20"/>
        <v/>
      </c>
      <c r="IB31" s="4" t="str">
        <f t="shared" si="21"/>
        <v/>
      </c>
      <c r="IC31" s="4" t="str">
        <f t="shared" si="22"/>
        <v/>
      </c>
      <c r="ID31" s="4" t="str">
        <f t="shared" si="23"/>
        <v/>
      </c>
      <c r="IE31" s="4" t="str">
        <f t="shared" si="24"/>
        <v/>
      </c>
      <c r="IF31" s="4" t="str">
        <f t="shared" si="25"/>
        <v/>
      </c>
      <c r="IG31" s="4" t="str">
        <f t="shared" si="26"/>
        <v/>
      </c>
      <c r="IH31" s="4" t="str">
        <f t="shared" si="27"/>
        <v/>
      </c>
      <c r="II31" s="4" t="str">
        <f t="shared" si="28"/>
        <v/>
      </c>
      <c r="IJ31" s="4" t="str">
        <f t="shared" si="29"/>
        <v/>
      </c>
      <c r="IK31" s="4" t="str">
        <f t="shared" si="30"/>
        <v/>
      </c>
      <c r="IL31" s="4" t="str">
        <f t="shared" si="31"/>
        <v/>
      </c>
      <c r="IM31" s="4" t="str">
        <f t="shared" si="32"/>
        <v/>
      </c>
      <c r="IN31" s="4" t="str">
        <f t="shared" si="33"/>
        <v/>
      </c>
      <c r="IO31" s="4" t="str">
        <f t="shared" si="34"/>
        <v/>
      </c>
      <c r="IP31" s="4" t="str">
        <f t="shared" si="35"/>
        <v/>
      </c>
      <c r="IQ31" s="4" t="str">
        <f t="shared" si="36"/>
        <v/>
      </c>
      <c r="IR31" s="4" t="str">
        <f t="shared" si="37"/>
        <v/>
      </c>
      <c r="IS31" s="4" t="str">
        <f t="shared" si="38"/>
        <v/>
      </c>
      <c r="IT31" s="4" t="str">
        <f t="shared" si="39"/>
        <v/>
      </c>
      <c r="IU31" s="4" t="str">
        <f t="shared" si="40"/>
        <v/>
      </c>
      <c r="IV31" s="4" t="str">
        <f t="shared" si="41"/>
        <v/>
      </c>
      <c r="IW31" s="4" t="str">
        <f t="shared" si="42"/>
        <v/>
      </c>
      <c r="IX31" s="4" t="str">
        <f t="shared" si="43"/>
        <v/>
      </c>
      <c r="IY31" s="4" t="str">
        <f t="shared" si="44"/>
        <v/>
      </c>
      <c r="IZ31" s="4" t="str">
        <f t="shared" si="45"/>
        <v/>
      </c>
      <c r="JA31" s="4" t="str">
        <f t="shared" ref="JA31:JB31" si="247">if(ISERROR(SEARCH("Higher Education",BB31)),"","810")</f>
        <v/>
      </c>
      <c r="JB31" s="4" t="str">
        <f t="shared" si="247"/>
        <v/>
      </c>
      <c r="JC31" s="4" t="str">
        <f t="shared" si="47"/>
        <v/>
      </c>
      <c r="JD31" s="4" t="str">
        <f t="shared" si="48"/>
        <v/>
      </c>
      <c r="JE31" s="4" t="str">
        <f t="shared" si="49"/>
        <v/>
      </c>
      <c r="JF31" s="4" t="str">
        <f t="shared" si="50"/>
        <v/>
      </c>
      <c r="JG31" s="4" t="str">
        <f t="shared" si="51"/>
        <v/>
      </c>
      <c r="JH31" s="4" t="str">
        <f t="shared" si="52"/>
        <v/>
      </c>
      <c r="JI31" s="4" t="str">
        <f t="shared" si="53"/>
        <v/>
      </c>
      <c r="JJ31" s="4" t="str">
        <f t="shared" si="54"/>
        <v/>
      </c>
      <c r="JK31" s="4" t="str">
        <f t="shared" si="55"/>
        <v/>
      </c>
      <c r="JL31" s="4" t="str">
        <f t="shared" si="56"/>
        <v/>
      </c>
      <c r="JM31" s="4" t="str">
        <f t="shared" si="57"/>
        <v/>
      </c>
      <c r="JN31" s="4" t="str">
        <f t="shared" si="58"/>
        <v/>
      </c>
      <c r="JO31" s="4" t="str">
        <f t="shared" si="59"/>
        <v/>
      </c>
      <c r="JP31" s="4" t="str">
        <f t="shared" si="60"/>
        <v/>
      </c>
      <c r="JQ31" s="4" t="str">
        <f t="shared" si="61"/>
        <v/>
      </c>
      <c r="JR31" s="4" t="str">
        <f t="shared" si="62"/>
        <v/>
      </c>
      <c r="JS31" s="4" t="str">
        <f t="shared" si="63"/>
        <v/>
      </c>
      <c r="JT31" s="4" t="str">
        <f t="shared" si="64"/>
        <v/>
      </c>
      <c r="JU31" s="4" t="str">
        <f t="shared" si="65"/>
        <v/>
      </c>
      <c r="JV31" s="4" t="str">
        <f t="shared" si="66"/>
        <v/>
      </c>
      <c r="JW31" s="4" t="str">
        <f t="shared" si="67"/>
        <v/>
      </c>
      <c r="JX31" s="4" t="str">
        <f t="shared" si="68"/>
        <v/>
      </c>
      <c r="JY31" s="4" t="str">
        <f t="shared" si="69"/>
        <v/>
      </c>
      <c r="JZ31" s="4" t="str">
        <f t="shared" si="70"/>
        <v/>
      </c>
      <c r="KA31" s="4" t="str">
        <f t="shared" si="71"/>
        <v/>
      </c>
      <c r="KB31" s="4" t="str">
        <f t="shared" si="72"/>
        <v/>
      </c>
      <c r="KC31" s="4" t="str">
        <f t="shared" si="73"/>
        <v/>
      </c>
      <c r="KD31" s="4" t="str">
        <f t="shared" si="74"/>
        <v/>
      </c>
      <c r="KE31" s="4" t="str">
        <f t="shared" si="75"/>
        <v/>
      </c>
      <c r="KF31" s="4" t="str">
        <f t="shared" si="76"/>
        <v/>
      </c>
      <c r="KG31" s="4" t="str">
        <f t="shared" si="77"/>
        <v/>
      </c>
      <c r="KH31" s="4" t="str">
        <f t="shared" si="78"/>
        <v/>
      </c>
      <c r="KI31" s="4" t="str">
        <f t="shared" si="79"/>
        <v/>
      </c>
      <c r="KJ31" s="4" t="str">
        <f t="shared" si="80"/>
        <v/>
      </c>
      <c r="KK31" s="4" t="str">
        <f t="shared" si="81"/>
        <v/>
      </c>
      <c r="KL31" s="4" t="str">
        <f t="shared" si="82"/>
        <v/>
      </c>
      <c r="KM31" s="4" t="str">
        <f t="shared" si="83"/>
        <v/>
      </c>
      <c r="KN31" s="4" t="str">
        <f t="shared" si="84"/>
        <v/>
      </c>
      <c r="KO31" s="4" t="str">
        <f t="shared" si="85"/>
        <v/>
      </c>
      <c r="KP31" s="4" t="str">
        <f t="shared" si="86"/>
        <v/>
      </c>
      <c r="KQ31" s="4" t="str">
        <f t="shared" si="87"/>
        <v/>
      </c>
      <c r="KR31" s="4" t="str">
        <f t="shared" si="88"/>
        <v/>
      </c>
      <c r="KS31" s="4" t="str">
        <f t="shared" si="89"/>
        <v/>
      </c>
      <c r="KT31" s="4" t="str">
        <f t="shared" si="90"/>
        <v/>
      </c>
      <c r="KU31" s="4" t="str">
        <f t="shared" si="91"/>
        <v/>
      </c>
      <c r="KV31" s="4" t="str">
        <f t="shared" si="92"/>
        <v/>
      </c>
      <c r="KW31" s="4" t="str">
        <f t="shared" si="93"/>
        <v/>
      </c>
      <c r="KX31" s="4" t="str">
        <f t="shared" si="94"/>
        <v/>
      </c>
      <c r="KY31" s="4" t="str">
        <f t="shared" si="95"/>
        <v/>
      </c>
      <c r="KZ31" s="4" t="str">
        <f t="shared" si="96"/>
        <v/>
      </c>
      <c r="LA31" s="4" t="str">
        <f t="shared" si="97"/>
        <v/>
      </c>
      <c r="LB31" s="4" t="str">
        <f t="shared" si="98"/>
        <v/>
      </c>
      <c r="LC31" s="4" t="str">
        <f t="shared" si="99"/>
        <v/>
      </c>
      <c r="LD31" s="4" t="str">
        <f t="shared" si="100"/>
        <v/>
      </c>
      <c r="LE31" s="4" t="str">
        <f t="shared" si="101"/>
        <v/>
      </c>
      <c r="LF31" s="4" t="str">
        <f t="shared" si="102"/>
        <v/>
      </c>
      <c r="LG31" s="4" t="str">
        <f t="shared" si="103"/>
        <v/>
      </c>
      <c r="LH31" s="4" t="str">
        <f t="shared" si="104"/>
        <v/>
      </c>
      <c r="LI31" s="4" t="str">
        <f t="shared" si="105"/>
        <v/>
      </c>
      <c r="LJ31" s="4" t="str">
        <f t="shared" si="106"/>
        <v/>
      </c>
      <c r="LK31" s="4" t="str">
        <f t="shared" si="107"/>
        <v/>
      </c>
      <c r="LL31" s="4" t="str">
        <f t="shared" si="108"/>
        <v/>
      </c>
      <c r="LM31" s="4" t="str">
        <f t="shared" si="109"/>
        <v/>
      </c>
      <c r="LN31" s="4" t="str">
        <f t="shared" si="110"/>
        <v/>
      </c>
      <c r="LO31" s="4" t="str">
        <f t="shared" si="111"/>
        <v/>
      </c>
      <c r="LP31" s="4" t="str">
        <f t="shared" si="112"/>
        <v/>
      </c>
      <c r="LQ31" s="4" t="str">
        <f t="shared" si="113"/>
        <v/>
      </c>
      <c r="LR31" s="4" t="str">
        <f t="shared" si="114"/>
        <v/>
      </c>
      <c r="LS31" s="4" t="str">
        <f t="shared" si="115"/>
        <v/>
      </c>
      <c r="LT31" s="4" t="str">
        <f t="shared" si="116"/>
        <v/>
      </c>
      <c r="LU31" s="4" t="str">
        <f t="shared" si="117"/>
        <v/>
      </c>
      <c r="LV31" s="4" t="str">
        <f t="shared" si="118"/>
        <v/>
      </c>
      <c r="LW31" s="4" t="str">
        <f t="shared" si="119"/>
        <v/>
      </c>
      <c r="LX31" s="4" t="str">
        <f t="shared" si="120"/>
        <v/>
      </c>
      <c r="LY31" s="4" t="str">
        <f t="shared" si="121"/>
        <v/>
      </c>
      <c r="LZ31" s="4" t="str">
        <f t="shared" si="122"/>
        <v/>
      </c>
      <c r="MA31" s="4" t="str">
        <f t="shared" si="123"/>
        <v/>
      </c>
      <c r="MB31" s="4" t="str">
        <f t="shared" si="124"/>
        <v/>
      </c>
      <c r="MC31" s="4" t="str">
        <f t="shared" si="125"/>
        <v/>
      </c>
      <c r="MD31" s="4" t="str">
        <f t="shared" si="126"/>
        <v/>
      </c>
      <c r="ME31" s="4" t="str">
        <f t="shared" si="127"/>
        <v/>
      </c>
      <c r="MF31" s="4" t="str">
        <f t="shared" si="128"/>
        <v/>
      </c>
      <c r="MG31" s="4" t="str">
        <f t="shared" si="129"/>
        <v/>
      </c>
      <c r="MH31" s="4" t="str">
        <f t="shared" si="130"/>
        <v/>
      </c>
      <c r="MI31" s="4" t="str">
        <f t="shared" si="131"/>
        <v/>
      </c>
      <c r="MJ31" s="4" t="str">
        <f t="shared" si="132"/>
        <v/>
      </c>
      <c r="MK31" s="4" t="str">
        <f t="shared" si="133"/>
        <v/>
      </c>
      <c r="ML31" s="4" t="str">
        <f t="shared" si="134"/>
        <v/>
      </c>
      <c r="MM31" s="4" t="str">
        <f t="shared" si="135"/>
        <v/>
      </c>
      <c r="MN31" s="4" t="str">
        <f t="shared" si="136"/>
        <v/>
      </c>
      <c r="MO31" s="4" t="str">
        <f t="shared" si="137"/>
        <v/>
      </c>
      <c r="MP31" s="4" t="str">
        <f t="shared" si="138"/>
        <v/>
      </c>
      <c r="MQ31" s="4" t="str">
        <f t="shared" si="139"/>
        <v/>
      </c>
      <c r="MR31" s="4" t="str">
        <f t="shared" si="140"/>
        <v/>
      </c>
      <c r="MS31" s="4" t="str">
        <f t="shared" si="141"/>
        <v/>
      </c>
      <c r="MT31" s="4" t="str">
        <f t="shared" si="142"/>
        <v/>
      </c>
      <c r="MU31" s="4" t="str">
        <f t="shared" si="143"/>
        <v/>
      </c>
      <c r="MV31" s="4" t="str">
        <f t="shared" si="144"/>
        <v/>
      </c>
      <c r="MW31" s="4" t="str">
        <f t="shared" si="145"/>
        <v/>
      </c>
      <c r="MX31" s="4" t="str">
        <f t="shared" si="146"/>
        <v/>
      </c>
      <c r="MY31" s="4" t="str">
        <f t="shared" si="147"/>
        <v/>
      </c>
      <c r="MZ31" s="4" t="str">
        <f t="shared" si="148"/>
        <v/>
      </c>
      <c r="NA31" s="4" t="str">
        <f t="shared" si="149"/>
        <v/>
      </c>
      <c r="NB31" s="4" t="str">
        <f t="shared" si="150"/>
        <v/>
      </c>
      <c r="NC31" s="4" t="str">
        <f t="shared" si="151"/>
        <v/>
      </c>
      <c r="ND31" s="4" t="str">
        <f t="shared" si="152"/>
        <v/>
      </c>
      <c r="NE31" s="4" t="str">
        <f t="shared" si="153"/>
        <v/>
      </c>
      <c r="NF31" s="4" t="str">
        <f t="shared" si="154"/>
        <v/>
      </c>
      <c r="NG31" s="4" t="str">
        <f t="shared" si="155"/>
        <v/>
      </c>
      <c r="NH31" s="4" t="str">
        <f t="shared" si="156"/>
        <v/>
      </c>
      <c r="NI31" s="4" t="str">
        <f t="shared" si="157"/>
        <v/>
      </c>
      <c r="NJ31" s="4" t="str">
        <f t="shared" si="158"/>
        <v/>
      </c>
      <c r="NK31" s="4" t="str">
        <f t="shared" si="159"/>
        <v/>
      </c>
      <c r="NL31" s="4" t="str">
        <f t="shared" si="160"/>
        <v/>
      </c>
      <c r="NM31" s="4" t="str">
        <f t="shared" si="161"/>
        <v/>
      </c>
      <c r="NN31" s="4" t="str">
        <f t="shared" si="162"/>
        <v/>
      </c>
      <c r="NO31" s="4" t="str">
        <f t="shared" si="163"/>
        <v/>
      </c>
      <c r="NP31" s="4" t="str">
        <f t="shared" si="164"/>
        <v/>
      </c>
      <c r="NQ31" s="4" t="str">
        <f t="shared" si="165"/>
        <v/>
      </c>
      <c r="NR31" s="4" t="str">
        <f t="shared" si="166"/>
        <v/>
      </c>
      <c r="NS31" s="4" t="str">
        <f t="shared" si="167"/>
        <v/>
      </c>
      <c r="NT31" s="4" t="str">
        <f t="shared" si="168"/>
        <v/>
      </c>
      <c r="NU31" s="4" t="str">
        <f t="shared" si="169"/>
        <v/>
      </c>
      <c r="NV31" s="4" t="str">
        <f t="shared" si="170"/>
        <v/>
      </c>
      <c r="NW31" s="4" t="str">
        <f t="shared" si="171"/>
        <v/>
      </c>
      <c r="NX31" s="4" t="str">
        <f t="shared" si="172"/>
        <v/>
      </c>
      <c r="NY31" s="4" t="str">
        <f t="shared" si="173"/>
        <v/>
      </c>
      <c r="NZ31" s="4" t="str">
        <f t="shared" si="174"/>
        <v/>
      </c>
      <c r="OA31" s="4" t="str">
        <f t="shared" si="175"/>
        <v/>
      </c>
      <c r="OB31" s="4" t="str">
        <f t="shared" si="176"/>
        <v/>
      </c>
      <c r="OC31" s="4" t="str">
        <f t="shared" si="177"/>
        <v/>
      </c>
      <c r="OD31" s="4" t="str">
        <f t="shared" si="178"/>
        <v/>
      </c>
      <c r="OE31" s="4" t="str">
        <f t="shared" si="179"/>
        <v/>
      </c>
      <c r="OF31" s="4" t="str">
        <f t="shared" si="180"/>
        <v/>
      </c>
      <c r="OG31" s="4" t="str">
        <f t="shared" si="181"/>
        <v/>
      </c>
      <c r="OH31" s="4" t="str">
        <f t="shared" si="182"/>
        <v/>
      </c>
      <c r="OI31" s="4" t="str">
        <f t="shared" si="183"/>
        <v/>
      </c>
      <c r="OJ31" s="4" t="str">
        <f t="shared" si="184"/>
        <v/>
      </c>
      <c r="OK31" s="4" t="str">
        <f t="shared" si="185"/>
        <v/>
      </c>
      <c r="OL31" s="4" t="str">
        <f t="shared" si="186"/>
        <v/>
      </c>
      <c r="OM31" s="4" t="str">
        <f t="shared" si="187"/>
        <v/>
      </c>
      <c r="ON31" s="4" t="str">
        <f t="shared" si="188"/>
        <v/>
      </c>
      <c r="OO31" s="4" t="str">
        <f t="shared" si="189"/>
        <v/>
      </c>
      <c r="OP31" s="4" t="str">
        <f t="shared" si="190"/>
        <v/>
      </c>
      <c r="OQ31" s="4" t="str">
        <f t="shared" si="191"/>
        <v/>
      </c>
      <c r="OR31" s="4" t="str">
        <f t="shared" si="192"/>
        <v/>
      </c>
      <c r="OS31" s="4" t="str">
        <f t="shared" si="193"/>
        <v/>
      </c>
      <c r="OT31" s="4" t="str">
        <f t="shared" si="194"/>
        <v/>
      </c>
      <c r="OU31" s="4" t="str">
        <f t="shared" si="195"/>
        <v/>
      </c>
      <c r="OV31" s="4" t="str">
        <f t="shared" si="196"/>
        <v/>
      </c>
      <c r="OW31" s="4" t="str">
        <f t="shared" si="197"/>
        <v/>
      </c>
      <c r="OX31" s="4" t="str">
        <f t="shared" si="198"/>
        <v/>
      </c>
      <c r="OY31" s="4" t="str">
        <f t="shared" si="199"/>
        <v/>
      </c>
      <c r="OZ31" s="4" t="str">
        <f t="shared" si="200"/>
        <v/>
      </c>
      <c r="PA31" s="4" t="str">
        <f t="shared" si="201"/>
        <v/>
      </c>
      <c r="PB31" s="4" t="str">
        <f t="shared" si="202"/>
        <v/>
      </c>
      <c r="PC31" s="4" t="str">
        <f t="shared" si="203"/>
        <v/>
      </c>
      <c r="PD31" s="4" t="str">
        <f t="shared" si="204"/>
        <v/>
      </c>
      <c r="PE31" s="4" t="str">
        <f t="shared" si="205"/>
        <v/>
      </c>
      <c r="PF31" s="4" t="str">
        <f t="shared" si="206"/>
        <v/>
      </c>
      <c r="PG31" s="4" t="str">
        <f t="shared" si="207"/>
        <v/>
      </c>
      <c r="PH31" s="4" t="str">
        <f t="shared" si="208"/>
        <v/>
      </c>
      <c r="PI31" s="4" t="str">
        <f t="shared" si="209"/>
        <v/>
      </c>
      <c r="PJ31" s="4" t="str">
        <f t="shared" si="210"/>
        <v/>
      </c>
      <c r="PK31" s="4" t="str">
        <f t="shared" si="211"/>
        <v/>
      </c>
      <c r="PL31" s="4" t="str">
        <f t="shared" si="212"/>
        <v/>
      </c>
      <c r="PM31" s="4" t="str">
        <f t="shared" si="213"/>
        <v/>
      </c>
      <c r="PN31" s="4" t="str">
        <f t="shared" si="214"/>
        <v/>
      </c>
      <c r="PO31" s="4" t="str">
        <f t="shared" si="215"/>
        <v/>
      </c>
      <c r="PP31" s="4" t="str">
        <f t="shared" si="216"/>
        <v/>
      </c>
      <c r="PQ31" s="4" t="str">
        <f t="shared" si="217"/>
        <v/>
      </c>
      <c r="PR31" s="4" t="str">
        <f t="shared" si="218"/>
        <v/>
      </c>
      <c r="PS31" s="4" t="str">
        <f t="shared" si="219"/>
        <v/>
      </c>
    </row>
    <row r="32">
      <c r="HI32" s="4" t="str">
        <f t="shared" si="2"/>
        <v/>
      </c>
      <c r="HJ32" s="4" t="str">
        <f t="shared" si="3"/>
        <v/>
      </c>
      <c r="HK32" s="4" t="str">
        <f t="shared" si="4"/>
        <v/>
      </c>
      <c r="HL32" s="4" t="str">
        <f t="shared" si="5"/>
        <v/>
      </c>
      <c r="HM32" s="4" t="str">
        <f t="shared" si="6"/>
        <v/>
      </c>
      <c r="HN32" s="4" t="str">
        <f t="shared" si="7"/>
        <v/>
      </c>
      <c r="HO32" s="4" t="str">
        <f t="shared" si="8"/>
        <v/>
      </c>
      <c r="HP32" s="4" t="str">
        <f t="shared" si="9"/>
        <v/>
      </c>
      <c r="HQ32" s="4" t="str">
        <f t="shared" si="10"/>
        <v/>
      </c>
      <c r="HR32" s="4" t="str">
        <f t="shared" si="11"/>
        <v/>
      </c>
      <c r="HS32" s="4" t="str">
        <f t="shared" si="12"/>
        <v/>
      </c>
      <c r="HT32" s="4" t="str">
        <f t="shared" si="13"/>
        <v/>
      </c>
      <c r="HU32" s="4" t="str">
        <f t="shared" si="14"/>
        <v/>
      </c>
      <c r="HV32" s="4" t="str">
        <f t="shared" si="15"/>
        <v/>
      </c>
      <c r="HW32" s="4" t="str">
        <f t="shared" si="16"/>
        <v/>
      </c>
      <c r="HX32" s="4" t="str">
        <f t="shared" si="17"/>
        <v/>
      </c>
      <c r="HY32" s="4" t="str">
        <f t="shared" si="18"/>
        <v/>
      </c>
      <c r="HZ32" s="4" t="str">
        <f t="shared" si="19"/>
        <v/>
      </c>
      <c r="IA32" s="4" t="str">
        <f t="shared" si="20"/>
        <v/>
      </c>
      <c r="IB32" s="4" t="str">
        <f t="shared" si="21"/>
        <v/>
      </c>
      <c r="IC32" s="4" t="str">
        <f t="shared" si="22"/>
        <v/>
      </c>
      <c r="ID32" s="4" t="str">
        <f t="shared" si="23"/>
        <v/>
      </c>
      <c r="IE32" s="4" t="str">
        <f t="shared" si="24"/>
        <v/>
      </c>
      <c r="IF32" s="4" t="str">
        <f t="shared" si="25"/>
        <v/>
      </c>
      <c r="IG32" s="4" t="str">
        <f t="shared" si="26"/>
        <v/>
      </c>
      <c r="IH32" s="4" t="str">
        <f t="shared" si="27"/>
        <v/>
      </c>
      <c r="II32" s="4" t="str">
        <f t="shared" si="28"/>
        <v/>
      </c>
      <c r="IJ32" s="4" t="str">
        <f t="shared" si="29"/>
        <v/>
      </c>
      <c r="IK32" s="4" t="str">
        <f t="shared" si="30"/>
        <v/>
      </c>
      <c r="IL32" s="4" t="str">
        <f t="shared" si="31"/>
        <v/>
      </c>
      <c r="IM32" s="4" t="str">
        <f t="shared" si="32"/>
        <v/>
      </c>
      <c r="IN32" s="4" t="str">
        <f t="shared" si="33"/>
        <v/>
      </c>
      <c r="IO32" s="4" t="str">
        <f t="shared" si="34"/>
        <v/>
      </c>
      <c r="IP32" s="4" t="str">
        <f t="shared" si="35"/>
        <v/>
      </c>
      <c r="IQ32" s="4" t="str">
        <f t="shared" si="36"/>
        <v/>
      </c>
      <c r="IR32" s="4" t="str">
        <f t="shared" si="37"/>
        <v/>
      </c>
      <c r="IS32" s="4" t="str">
        <f t="shared" si="38"/>
        <v/>
      </c>
      <c r="IT32" s="4" t="str">
        <f t="shared" si="39"/>
        <v/>
      </c>
      <c r="IU32" s="4" t="str">
        <f t="shared" si="40"/>
        <v/>
      </c>
      <c r="IV32" s="4" t="str">
        <f t="shared" si="41"/>
        <v/>
      </c>
      <c r="IW32" s="4" t="str">
        <f t="shared" si="42"/>
        <v/>
      </c>
      <c r="IX32" s="4" t="str">
        <f t="shared" si="43"/>
        <v/>
      </c>
      <c r="IY32" s="4" t="str">
        <f t="shared" si="44"/>
        <v/>
      </c>
      <c r="IZ32" s="4" t="str">
        <f t="shared" si="45"/>
        <v/>
      </c>
      <c r="JA32" s="4" t="str">
        <f t="shared" ref="JA32:JB32" si="248">if(ISERROR(SEARCH("Higher Education",BB32)),"","810")</f>
        <v/>
      </c>
      <c r="JB32" s="4" t="str">
        <f t="shared" si="248"/>
        <v/>
      </c>
      <c r="JC32" s="4" t="str">
        <f t="shared" si="47"/>
        <v/>
      </c>
      <c r="JD32" s="4" t="str">
        <f t="shared" si="48"/>
        <v/>
      </c>
      <c r="JE32" s="4" t="str">
        <f t="shared" si="49"/>
        <v/>
      </c>
      <c r="JF32" s="4" t="str">
        <f t="shared" si="50"/>
        <v/>
      </c>
      <c r="JG32" s="4" t="str">
        <f t="shared" si="51"/>
        <v/>
      </c>
      <c r="JH32" s="4" t="str">
        <f t="shared" si="52"/>
        <v/>
      </c>
      <c r="JI32" s="4" t="str">
        <f t="shared" si="53"/>
        <v/>
      </c>
      <c r="JJ32" s="4" t="str">
        <f t="shared" si="54"/>
        <v/>
      </c>
      <c r="JK32" s="4" t="str">
        <f t="shared" si="55"/>
        <v/>
      </c>
      <c r="JL32" s="4" t="str">
        <f t="shared" si="56"/>
        <v/>
      </c>
      <c r="JM32" s="4" t="str">
        <f t="shared" si="57"/>
        <v/>
      </c>
      <c r="JN32" s="4" t="str">
        <f t="shared" si="58"/>
        <v/>
      </c>
      <c r="JO32" s="4" t="str">
        <f t="shared" si="59"/>
        <v/>
      </c>
      <c r="JP32" s="4" t="str">
        <f t="shared" si="60"/>
        <v/>
      </c>
      <c r="JQ32" s="4" t="str">
        <f t="shared" si="61"/>
        <v/>
      </c>
      <c r="JR32" s="4" t="str">
        <f t="shared" si="62"/>
        <v/>
      </c>
      <c r="JS32" s="4" t="str">
        <f t="shared" si="63"/>
        <v/>
      </c>
      <c r="JT32" s="4" t="str">
        <f t="shared" si="64"/>
        <v/>
      </c>
      <c r="JU32" s="4" t="str">
        <f t="shared" si="65"/>
        <v/>
      </c>
      <c r="JV32" s="4" t="str">
        <f t="shared" si="66"/>
        <v/>
      </c>
      <c r="JW32" s="4" t="str">
        <f t="shared" si="67"/>
        <v/>
      </c>
      <c r="JX32" s="4" t="str">
        <f t="shared" si="68"/>
        <v/>
      </c>
      <c r="JY32" s="4" t="str">
        <f t="shared" si="69"/>
        <v/>
      </c>
      <c r="JZ32" s="4" t="str">
        <f t="shared" si="70"/>
        <v/>
      </c>
      <c r="KA32" s="4" t="str">
        <f t="shared" si="71"/>
        <v/>
      </c>
      <c r="KB32" s="4" t="str">
        <f t="shared" si="72"/>
        <v/>
      </c>
      <c r="KC32" s="4" t="str">
        <f t="shared" si="73"/>
        <v/>
      </c>
      <c r="KD32" s="4" t="str">
        <f t="shared" si="74"/>
        <v/>
      </c>
      <c r="KE32" s="4" t="str">
        <f t="shared" si="75"/>
        <v/>
      </c>
      <c r="KF32" s="4" t="str">
        <f t="shared" si="76"/>
        <v/>
      </c>
      <c r="KG32" s="4" t="str">
        <f t="shared" si="77"/>
        <v/>
      </c>
      <c r="KH32" s="4" t="str">
        <f t="shared" si="78"/>
        <v/>
      </c>
      <c r="KI32" s="4" t="str">
        <f t="shared" si="79"/>
        <v/>
      </c>
      <c r="KJ32" s="4" t="str">
        <f t="shared" si="80"/>
        <v/>
      </c>
      <c r="KK32" s="4" t="str">
        <f t="shared" si="81"/>
        <v/>
      </c>
      <c r="KL32" s="4" t="str">
        <f t="shared" si="82"/>
        <v/>
      </c>
      <c r="KM32" s="4" t="str">
        <f t="shared" si="83"/>
        <v/>
      </c>
      <c r="KN32" s="4" t="str">
        <f t="shared" si="84"/>
        <v/>
      </c>
      <c r="KO32" s="4" t="str">
        <f t="shared" si="85"/>
        <v/>
      </c>
      <c r="KP32" s="4" t="str">
        <f t="shared" si="86"/>
        <v/>
      </c>
      <c r="KQ32" s="4" t="str">
        <f t="shared" si="87"/>
        <v/>
      </c>
      <c r="KR32" s="4" t="str">
        <f t="shared" si="88"/>
        <v/>
      </c>
      <c r="KS32" s="4" t="str">
        <f t="shared" si="89"/>
        <v/>
      </c>
      <c r="KT32" s="4" t="str">
        <f t="shared" si="90"/>
        <v/>
      </c>
      <c r="KU32" s="4" t="str">
        <f t="shared" si="91"/>
        <v/>
      </c>
      <c r="KV32" s="4" t="str">
        <f t="shared" si="92"/>
        <v/>
      </c>
      <c r="KW32" s="4" t="str">
        <f t="shared" si="93"/>
        <v/>
      </c>
      <c r="KX32" s="4" t="str">
        <f t="shared" si="94"/>
        <v/>
      </c>
      <c r="KY32" s="4" t="str">
        <f t="shared" si="95"/>
        <v/>
      </c>
      <c r="KZ32" s="4" t="str">
        <f t="shared" si="96"/>
        <v/>
      </c>
      <c r="LA32" s="4" t="str">
        <f t="shared" si="97"/>
        <v/>
      </c>
      <c r="LB32" s="4" t="str">
        <f t="shared" si="98"/>
        <v/>
      </c>
      <c r="LC32" s="4" t="str">
        <f t="shared" si="99"/>
        <v/>
      </c>
      <c r="LD32" s="4" t="str">
        <f t="shared" si="100"/>
        <v/>
      </c>
      <c r="LE32" s="4" t="str">
        <f t="shared" si="101"/>
        <v/>
      </c>
      <c r="LF32" s="4" t="str">
        <f t="shared" si="102"/>
        <v/>
      </c>
      <c r="LG32" s="4" t="str">
        <f t="shared" si="103"/>
        <v/>
      </c>
      <c r="LH32" s="4" t="str">
        <f t="shared" si="104"/>
        <v/>
      </c>
      <c r="LI32" s="4" t="str">
        <f t="shared" si="105"/>
        <v/>
      </c>
      <c r="LJ32" s="4" t="str">
        <f t="shared" si="106"/>
        <v/>
      </c>
      <c r="LK32" s="4" t="str">
        <f t="shared" si="107"/>
        <v/>
      </c>
      <c r="LL32" s="4" t="str">
        <f t="shared" si="108"/>
        <v/>
      </c>
      <c r="LM32" s="4" t="str">
        <f t="shared" si="109"/>
        <v/>
      </c>
      <c r="LN32" s="4" t="str">
        <f t="shared" si="110"/>
        <v/>
      </c>
      <c r="LO32" s="4" t="str">
        <f t="shared" si="111"/>
        <v/>
      </c>
      <c r="LP32" s="4" t="str">
        <f t="shared" si="112"/>
        <v/>
      </c>
      <c r="LQ32" s="4" t="str">
        <f t="shared" si="113"/>
        <v/>
      </c>
      <c r="LR32" s="4" t="str">
        <f t="shared" si="114"/>
        <v/>
      </c>
      <c r="LS32" s="4" t="str">
        <f t="shared" si="115"/>
        <v/>
      </c>
      <c r="LT32" s="4" t="str">
        <f t="shared" si="116"/>
        <v/>
      </c>
      <c r="LU32" s="4" t="str">
        <f t="shared" si="117"/>
        <v/>
      </c>
      <c r="LV32" s="4" t="str">
        <f t="shared" si="118"/>
        <v/>
      </c>
      <c r="LW32" s="4" t="str">
        <f t="shared" si="119"/>
        <v/>
      </c>
      <c r="LX32" s="4" t="str">
        <f t="shared" si="120"/>
        <v/>
      </c>
      <c r="LY32" s="4" t="str">
        <f t="shared" si="121"/>
        <v/>
      </c>
      <c r="LZ32" s="4" t="str">
        <f t="shared" si="122"/>
        <v/>
      </c>
      <c r="MA32" s="4" t="str">
        <f t="shared" si="123"/>
        <v/>
      </c>
      <c r="MB32" s="4" t="str">
        <f t="shared" si="124"/>
        <v/>
      </c>
      <c r="MC32" s="4" t="str">
        <f t="shared" si="125"/>
        <v/>
      </c>
      <c r="MD32" s="4" t="str">
        <f t="shared" si="126"/>
        <v/>
      </c>
      <c r="ME32" s="4" t="str">
        <f t="shared" si="127"/>
        <v/>
      </c>
      <c r="MF32" s="4" t="str">
        <f t="shared" si="128"/>
        <v/>
      </c>
      <c r="MG32" s="4" t="str">
        <f t="shared" si="129"/>
        <v/>
      </c>
      <c r="MH32" s="4" t="str">
        <f t="shared" si="130"/>
        <v/>
      </c>
      <c r="MI32" s="4" t="str">
        <f t="shared" si="131"/>
        <v/>
      </c>
      <c r="MJ32" s="4" t="str">
        <f t="shared" si="132"/>
        <v/>
      </c>
      <c r="MK32" s="4" t="str">
        <f t="shared" si="133"/>
        <v/>
      </c>
      <c r="ML32" s="4" t="str">
        <f t="shared" si="134"/>
        <v/>
      </c>
      <c r="MM32" s="4" t="str">
        <f t="shared" si="135"/>
        <v/>
      </c>
      <c r="MN32" s="4" t="str">
        <f t="shared" si="136"/>
        <v/>
      </c>
      <c r="MO32" s="4" t="str">
        <f t="shared" si="137"/>
        <v/>
      </c>
      <c r="MP32" s="4" t="str">
        <f t="shared" si="138"/>
        <v/>
      </c>
      <c r="MQ32" s="4" t="str">
        <f t="shared" si="139"/>
        <v/>
      </c>
      <c r="MR32" s="4" t="str">
        <f t="shared" si="140"/>
        <v/>
      </c>
      <c r="MS32" s="4" t="str">
        <f t="shared" si="141"/>
        <v/>
      </c>
      <c r="MT32" s="4" t="str">
        <f t="shared" si="142"/>
        <v/>
      </c>
      <c r="MU32" s="4" t="str">
        <f t="shared" si="143"/>
        <v/>
      </c>
      <c r="MV32" s="4" t="str">
        <f t="shared" si="144"/>
        <v/>
      </c>
      <c r="MW32" s="4" t="str">
        <f t="shared" si="145"/>
        <v/>
      </c>
      <c r="MX32" s="4" t="str">
        <f t="shared" si="146"/>
        <v/>
      </c>
      <c r="MY32" s="4" t="str">
        <f t="shared" si="147"/>
        <v/>
      </c>
      <c r="MZ32" s="4" t="str">
        <f t="shared" si="148"/>
        <v/>
      </c>
      <c r="NA32" s="4" t="str">
        <f t="shared" si="149"/>
        <v/>
      </c>
      <c r="NB32" s="4" t="str">
        <f t="shared" si="150"/>
        <v/>
      </c>
      <c r="NC32" s="4" t="str">
        <f t="shared" si="151"/>
        <v/>
      </c>
      <c r="ND32" s="4" t="str">
        <f t="shared" si="152"/>
        <v/>
      </c>
      <c r="NE32" s="4" t="str">
        <f t="shared" si="153"/>
        <v/>
      </c>
      <c r="NF32" s="4" t="str">
        <f t="shared" si="154"/>
        <v/>
      </c>
      <c r="NG32" s="4" t="str">
        <f t="shared" si="155"/>
        <v/>
      </c>
      <c r="NH32" s="4" t="str">
        <f t="shared" si="156"/>
        <v/>
      </c>
      <c r="NI32" s="4" t="str">
        <f t="shared" si="157"/>
        <v/>
      </c>
      <c r="NJ32" s="4" t="str">
        <f t="shared" si="158"/>
        <v/>
      </c>
      <c r="NK32" s="4" t="str">
        <f t="shared" si="159"/>
        <v/>
      </c>
      <c r="NL32" s="4" t="str">
        <f t="shared" si="160"/>
        <v/>
      </c>
      <c r="NM32" s="4" t="str">
        <f t="shared" si="161"/>
        <v/>
      </c>
      <c r="NN32" s="4" t="str">
        <f t="shared" si="162"/>
        <v/>
      </c>
      <c r="NO32" s="4" t="str">
        <f t="shared" si="163"/>
        <v/>
      </c>
      <c r="NP32" s="4" t="str">
        <f t="shared" si="164"/>
        <v/>
      </c>
      <c r="NQ32" s="4" t="str">
        <f t="shared" si="165"/>
        <v/>
      </c>
      <c r="NR32" s="4" t="str">
        <f t="shared" si="166"/>
        <v/>
      </c>
      <c r="NS32" s="4" t="str">
        <f t="shared" si="167"/>
        <v/>
      </c>
      <c r="NT32" s="4" t="str">
        <f t="shared" si="168"/>
        <v/>
      </c>
      <c r="NU32" s="4" t="str">
        <f t="shared" si="169"/>
        <v/>
      </c>
      <c r="NV32" s="4" t="str">
        <f t="shared" si="170"/>
        <v/>
      </c>
      <c r="NW32" s="4" t="str">
        <f t="shared" si="171"/>
        <v/>
      </c>
      <c r="NX32" s="4" t="str">
        <f t="shared" si="172"/>
        <v/>
      </c>
      <c r="NY32" s="4" t="str">
        <f t="shared" si="173"/>
        <v/>
      </c>
      <c r="NZ32" s="4" t="str">
        <f t="shared" si="174"/>
        <v/>
      </c>
      <c r="OA32" s="4" t="str">
        <f t="shared" si="175"/>
        <v/>
      </c>
      <c r="OB32" s="4" t="str">
        <f t="shared" si="176"/>
        <v/>
      </c>
      <c r="OC32" s="4" t="str">
        <f t="shared" si="177"/>
        <v/>
      </c>
      <c r="OD32" s="4" t="str">
        <f t="shared" si="178"/>
        <v/>
      </c>
      <c r="OE32" s="4" t="str">
        <f t="shared" si="179"/>
        <v/>
      </c>
      <c r="OF32" s="4" t="str">
        <f t="shared" si="180"/>
        <v/>
      </c>
      <c r="OG32" s="4" t="str">
        <f t="shared" si="181"/>
        <v/>
      </c>
      <c r="OH32" s="4" t="str">
        <f t="shared" si="182"/>
        <v/>
      </c>
      <c r="OI32" s="4" t="str">
        <f t="shared" si="183"/>
        <v/>
      </c>
      <c r="OJ32" s="4" t="str">
        <f t="shared" si="184"/>
        <v/>
      </c>
      <c r="OK32" s="4" t="str">
        <f t="shared" si="185"/>
        <v/>
      </c>
      <c r="OL32" s="4" t="str">
        <f t="shared" si="186"/>
        <v/>
      </c>
      <c r="OM32" s="4" t="str">
        <f t="shared" si="187"/>
        <v/>
      </c>
      <c r="ON32" s="4" t="str">
        <f t="shared" si="188"/>
        <v/>
      </c>
      <c r="OO32" s="4" t="str">
        <f t="shared" si="189"/>
        <v/>
      </c>
      <c r="OP32" s="4" t="str">
        <f t="shared" si="190"/>
        <v/>
      </c>
      <c r="OQ32" s="4" t="str">
        <f t="shared" si="191"/>
        <v/>
      </c>
      <c r="OR32" s="4" t="str">
        <f t="shared" si="192"/>
        <v/>
      </c>
      <c r="OS32" s="4" t="str">
        <f t="shared" si="193"/>
        <v/>
      </c>
      <c r="OT32" s="4" t="str">
        <f t="shared" si="194"/>
        <v/>
      </c>
      <c r="OU32" s="4" t="str">
        <f t="shared" si="195"/>
        <v/>
      </c>
      <c r="OV32" s="4" t="str">
        <f t="shared" si="196"/>
        <v/>
      </c>
      <c r="OW32" s="4" t="str">
        <f t="shared" si="197"/>
        <v/>
      </c>
      <c r="OX32" s="4" t="str">
        <f t="shared" si="198"/>
        <v/>
      </c>
      <c r="OY32" s="4" t="str">
        <f t="shared" si="199"/>
        <v/>
      </c>
      <c r="OZ32" s="4" t="str">
        <f t="shared" si="200"/>
        <v/>
      </c>
      <c r="PA32" s="4" t="str">
        <f t="shared" si="201"/>
        <v/>
      </c>
      <c r="PB32" s="4" t="str">
        <f t="shared" si="202"/>
        <v/>
      </c>
      <c r="PC32" s="4" t="str">
        <f t="shared" si="203"/>
        <v/>
      </c>
      <c r="PD32" s="4" t="str">
        <f t="shared" si="204"/>
        <v/>
      </c>
      <c r="PE32" s="4" t="str">
        <f t="shared" si="205"/>
        <v/>
      </c>
      <c r="PF32" s="4" t="str">
        <f t="shared" si="206"/>
        <v/>
      </c>
      <c r="PG32" s="4" t="str">
        <f t="shared" si="207"/>
        <v/>
      </c>
      <c r="PH32" s="4" t="str">
        <f t="shared" si="208"/>
        <v/>
      </c>
      <c r="PI32" s="4" t="str">
        <f t="shared" si="209"/>
        <v/>
      </c>
      <c r="PJ32" s="4" t="str">
        <f t="shared" si="210"/>
        <v/>
      </c>
      <c r="PK32" s="4" t="str">
        <f t="shared" si="211"/>
        <v/>
      </c>
      <c r="PL32" s="4" t="str">
        <f t="shared" si="212"/>
        <v/>
      </c>
      <c r="PM32" s="4" t="str">
        <f t="shared" si="213"/>
        <v/>
      </c>
      <c r="PN32" s="4" t="str">
        <f t="shared" si="214"/>
        <v/>
      </c>
      <c r="PO32" s="4" t="str">
        <f t="shared" si="215"/>
        <v/>
      </c>
      <c r="PP32" s="4" t="str">
        <f t="shared" si="216"/>
        <v/>
      </c>
      <c r="PQ32" s="4" t="str">
        <f t="shared" si="217"/>
        <v/>
      </c>
      <c r="PR32" s="4" t="str">
        <f t="shared" si="218"/>
        <v/>
      </c>
      <c r="PS32" s="4" t="str">
        <f t="shared" si="219"/>
        <v/>
      </c>
    </row>
    <row r="33">
      <c r="HI33" s="4" t="str">
        <f t="shared" si="2"/>
        <v/>
      </c>
      <c r="HJ33" s="4" t="str">
        <f t="shared" si="3"/>
        <v/>
      </c>
      <c r="HK33" s="4" t="str">
        <f t="shared" si="4"/>
        <v/>
      </c>
      <c r="HL33" s="4" t="str">
        <f t="shared" si="5"/>
        <v/>
      </c>
      <c r="HM33" s="4" t="str">
        <f t="shared" si="6"/>
        <v/>
      </c>
      <c r="HN33" s="4" t="str">
        <f t="shared" si="7"/>
        <v/>
      </c>
      <c r="HO33" s="4" t="str">
        <f t="shared" si="8"/>
        <v/>
      </c>
      <c r="HP33" s="4" t="str">
        <f t="shared" si="9"/>
        <v/>
      </c>
      <c r="HQ33" s="4" t="str">
        <f t="shared" si="10"/>
        <v/>
      </c>
      <c r="HR33" s="4" t="str">
        <f t="shared" si="11"/>
        <v/>
      </c>
      <c r="HS33" s="4" t="str">
        <f t="shared" si="12"/>
        <v/>
      </c>
      <c r="HT33" s="4" t="str">
        <f t="shared" si="13"/>
        <v/>
      </c>
      <c r="HU33" s="4" t="str">
        <f t="shared" si="14"/>
        <v/>
      </c>
      <c r="HV33" s="4" t="str">
        <f t="shared" si="15"/>
        <v/>
      </c>
      <c r="HW33" s="4" t="str">
        <f t="shared" si="16"/>
        <v/>
      </c>
      <c r="HX33" s="4" t="str">
        <f t="shared" si="17"/>
        <v/>
      </c>
      <c r="HY33" s="4" t="str">
        <f t="shared" si="18"/>
        <v/>
      </c>
      <c r="HZ33" s="4" t="str">
        <f t="shared" si="19"/>
        <v/>
      </c>
      <c r="IA33" s="4" t="str">
        <f t="shared" si="20"/>
        <v/>
      </c>
      <c r="IB33" s="4" t="str">
        <f t="shared" si="21"/>
        <v/>
      </c>
      <c r="IC33" s="4" t="str">
        <f t="shared" si="22"/>
        <v/>
      </c>
      <c r="ID33" s="4" t="str">
        <f t="shared" si="23"/>
        <v/>
      </c>
      <c r="IE33" s="4" t="str">
        <f t="shared" si="24"/>
        <v/>
      </c>
      <c r="IF33" s="4" t="str">
        <f t="shared" si="25"/>
        <v/>
      </c>
      <c r="IG33" s="4" t="str">
        <f t="shared" si="26"/>
        <v/>
      </c>
      <c r="IH33" s="4" t="str">
        <f t="shared" si="27"/>
        <v/>
      </c>
      <c r="II33" s="4" t="str">
        <f t="shared" si="28"/>
        <v/>
      </c>
      <c r="IJ33" s="4" t="str">
        <f t="shared" si="29"/>
        <v/>
      </c>
      <c r="IK33" s="4" t="str">
        <f t="shared" si="30"/>
        <v/>
      </c>
      <c r="IL33" s="4" t="str">
        <f t="shared" si="31"/>
        <v/>
      </c>
      <c r="IM33" s="4" t="str">
        <f t="shared" si="32"/>
        <v/>
      </c>
      <c r="IN33" s="4" t="str">
        <f t="shared" si="33"/>
        <v/>
      </c>
      <c r="IO33" s="4" t="str">
        <f t="shared" si="34"/>
        <v/>
      </c>
      <c r="IP33" s="4" t="str">
        <f t="shared" si="35"/>
        <v/>
      </c>
      <c r="IQ33" s="4" t="str">
        <f t="shared" si="36"/>
        <v/>
      </c>
      <c r="IR33" s="4" t="str">
        <f t="shared" si="37"/>
        <v/>
      </c>
      <c r="IS33" s="4" t="str">
        <f t="shared" si="38"/>
        <v/>
      </c>
      <c r="IT33" s="4" t="str">
        <f t="shared" si="39"/>
        <v/>
      </c>
      <c r="IU33" s="4" t="str">
        <f t="shared" si="40"/>
        <v/>
      </c>
      <c r="IV33" s="4" t="str">
        <f t="shared" si="41"/>
        <v/>
      </c>
      <c r="IW33" s="4" t="str">
        <f t="shared" si="42"/>
        <v/>
      </c>
      <c r="IX33" s="4" t="str">
        <f t="shared" si="43"/>
        <v/>
      </c>
      <c r="IY33" s="4" t="str">
        <f t="shared" si="44"/>
        <v/>
      </c>
      <c r="IZ33" s="4" t="str">
        <f t="shared" si="45"/>
        <v/>
      </c>
      <c r="JA33" s="4" t="str">
        <f t="shared" ref="JA33:JB33" si="249">if(ISERROR(SEARCH("Higher Education",BB33)),"","810")</f>
        <v/>
      </c>
      <c r="JB33" s="4" t="str">
        <f t="shared" si="249"/>
        <v/>
      </c>
      <c r="JC33" s="4" t="str">
        <f t="shared" si="47"/>
        <v/>
      </c>
      <c r="JD33" s="4" t="str">
        <f t="shared" si="48"/>
        <v/>
      </c>
      <c r="JE33" s="4" t="str">
        <f t="shared" si="49"/>
        <v/>
      </c>
      <c r="JF33" s="4" t="str">
        <f t="shared" si="50"/>
        <v/>
      </c>
      <c r="JG33" s="4" t="str">
        <f t="shared" si="51"/>
        <v/>
      </c>
      <c r="JH33" s="4" t="str">
        <f t="shared" si="52"/>
        <v/>
      </c>
      <c r="JI33" s="4" t="str">
        <f t="shared" si="53"/>
        <v/>
      </c>
      <c r="JJ33" s="4" t="str">
        <f t="shared" si="54"/>
        <v/>
      </c>
      <c r="JK33" s="4" t="str">
        <f t="shared" si="55"/>
        <v/>
      </c>
      <c r="JL33" s="4" t="str">
        <f t="shared" si="56"/>
        <v/>
      </c>
      <c r="JM33" s="4" t="str">
        <f t="shared" si="57"/>
        <v/>
      </c>
      <c r="JN33" s="4" t="str">
        <f t="shared" si="58"/>
        <v/>
      </c>
      <c r="JO33" s="4" t="str">
        <f t="shared" si="59"/>
        <v/>
      </c>
      <c r="JP33" s="4" t="str">
        <f t="shared" si="60"/>
        <v/>
      </c>
      <c r="JQ33" s="4" t="str">
        <f t="shared" si="61"/>
        <v/>
      </c>
      <c r="JR33" s="4" t="str">
        <f t="shared" si="62"/>
        <v/>
      </c>
      <c r="JS33" s="4" t="str">
        <f t="shared" si="63"/>
        <v/>
      </c>
      <c r="JT33" s="4" t="str">
        <f t="shared" si="64"/>
        <v/>
      </c>
      <c r="JU33" s="4" t="str">
        <f t="shared" si="65"/>
        <v/>
      </c>
      <c r="JV33" s="4" t="str">
        <f t="shared" si="66"/>
        <v/>
      </c>
      <c r="JW33" s="4" t="str">
        <f t="shared" si="67"/>
        <v/>
      </c>
      <c r="JX33" s="4" t="str">
        <f t="shared" si="68"/>
        <v/>
      </c>
      <c r="JY33" s="4" t="str">
        <f t="shared" si="69"/>
        <v/>
      </c>
      <c r="JZ33" s="4" t="str">
        <f t="shared" si="70"/>
        <v/>
      </c>
      <c r="KA33" s="4" t="str">
        <f t="shared" si="71"/>
        <v/>
      </c>
      <c r="KB33" s="4" t="str">
        <f t="shared" si="72"/>
        <v/>
      </c>
      <c r="KC33" s="4" t="str">
        <f t="shared" si="73"/>
        <v/>
      </c>
      <c r="KD33" s="4" t="str">
        <f t="shared" si="74"/>
        <v/>
      </c>
      <c r="KE33" s="4" t="str">
        <f t="shared" si="75"/>
        <v/>
      </c>
      <c r="KF33" s="4" t="str">
        <f t="shared" si="76"/>
        <v/>
      </c>
      <c r="KG33" s="4" t="str">
        <f t="shared" si="77"/>
        <v/>
      </c>
      <c r="KH33" s="4" t="str">
        <f t="shared" si="78"/>
        <v/>
      </c>
      <c r="KI33" s="4" t="str">
        <f t="shared" si="79"/>
        <v/>
      </c>
      <c r="KJ33" s="4" t="str">
        <f t="shared" si="80"/>
        <v/>
      </c>
      <c r="KK33" s="4" t="str">
        <f t="shared" si="81"/>
        <v/>
      </c>
      <c r="KL33" s="4" t="str">
        <f t="shared" si="82"/>
        <v/>
      </c>
      <c r="KM33" s="4" t="str">
        <f t="shared" si="83"/>
        <v/>
      </c>
      <c r="KN33" s="4" t="str">
        <f t="shared" si="84"/>
        <v/>
      </c>
      <c r="KO33" s="4" t="str">
        <f t="shared" si="85"/>
        <v/>
      </c>
      <c r="KP33" s="4" t="str">
        <f t="shared" si="86"/>
        <v/>
      </c>
      <c r="KQ33" s="4" t="str">
        <f t="shared" si="87"/>
        <v/>
      </c>
      <c r="KR33" s="4" t="str">
        <f t="shared" si="88"/>
        <v/>
      </c>
      <c r="KS33" s="4" t="str">
        <f t="shared" si="89"/>
        <v/>
      </c>
      <c r="KT33" s="4" t="str">
        <f t="shared" si="90"/>
        <v/>
      </c>
      <c r="KU33" s="4" t="str">
        <f t="shared" si="91"/>
        <v/>
      </c>
      <c r="KV33" s="4" t="str">
        <f t="shared" si="92"/>
        <v/>
      </c>
      <c r="KW33" s="4" t="str">
        <f t="shared" si="93"/>
        <v/>
      </c>
      <c r="KX33" s="4" t="str">
        <f t="shared" si="94"/>
        <v/>
      </c>
      <c r="KY33" s="4" t="str">
        <f t="shared" si="95"/>
        <v/>
      </c>
      <c r="KZ33" s="4" t="str">
        <f t="shared" si="96"/>
        <v/>
      </c>
      <c r="LA33" s="4" t="str">
        <f t="shared" si="97"/>
        <v/>
      </c>
      <c r="LB33" s="4" t="str">
        <f t="shared" si="98"/>
        <v/>
      </c>
      <c r="LC33" s="4" t="str">
        <f t="shared" si="99"/>
        <v/>
      </c>
      <c r="LD33" s="4" t="str">
        <f t="shared" si="100"/>
        <v/>
      </c>
      <c r="LE33" s="4" t="str">
        <f t="shared" si="101"/>
        <v/>
      </c>
      <c r="LF33" s="4" t="str">
        <f t="shared" si="102"/>
        <v/>
      </c>
      <c r="LG33" s="4" t="str">
        <f t="shared" si="103"/>
        <v/>
      </c>
      <c r="LH33" s="4" t="str">
        <f t="shared" si="104"/>
        <v/>
      </c>
      <c r="LI33" s="4" t="str">
        <f t="shared" si="105"/>
        <v/>
      </c>
      <c r="LJ33" s="4" t="str">
        <f t="shared" si="106"/>
        <v/>
      </c>
      <c r="LK33" s="4" t="str">
        <f t="shared" si="107"/>
        <v/>
      </c>
      <c r="LL33" s="4" t="str">
        <f t="shared" si="108"/>
        <v/>
      </c>
      <c r="LM33" s="4" t="str">
        <f t="shared" si="109"/>
        <v/>
      </c>
      <c r="LN33" s="4" t="str">
        <f t="shared" si="110"/>
        <v/>
      </c>
      <c r="LO33" s="4" t="str">
        <f t="shared" si="111"/>
        <v/>
      </c>
      <c r="LP33" s="4" t="str">
        <f t="shared" si="112"/>
        <v/>
      </c>
      <c r="LQ33" s="4" t="str">
        <f t="shared" si="113"/>
        <v/>
      </c>
      <c r="LR33" s="4" t="str">
        <f t="shared" si="114"/>
        <v/>
      </c>
      <c r="LS33" s="4" t="str">
        <f t="shared" si="115"/>
        <v/>
      </c>
      <c r="LT33" s="4" t="str">
        <f t="shared" si="116"/>
        <v/>
      </c>
      <c r="LU33" s="4" t="str">
        <f t="shared" si="117"/>
        <v/>
      </c>
      <c r="LV33" s="4" t="str">
        <f t="shared" si="118"/>
        <v/>
      </c>
      <c r="LW33" s="4" t="str">
        <f t="shared" si="119"/>
        <v/>
      </c>
      <c r="LX33" s="4" t="str">
        <f t="shared" si="120"/>
        <v/>
      </c>
      <c r="LY33" s="4" t="str">
        <f t="shared" si="121"/>
        <v/>
      </c>
      <c r="LZ33" s="4" t="str">
        <f t="shared" si="122"/>
        <v/>
      </c>
      <c r="MA33" s="4" t="str">
        <f t="shared" si="123"/>
        <v/>
      </c>
      <c r="MB33" s="4" t="str">
        <f t="shared" si="124"/>
        <v/>
      </c>
      <c r="MC33" s="4" t="str">
        <f t="shared" si="125"/>
        <v/>
      </c>
      <c r="MD33" s="4" t="str">
        <f t="shared" si="126"/>
        <v/>
      </c>
      <c r="ME33" s="4" t="str">
        <f t="shared" si="127"/>
        <v/>
      </c>
      <c r="MF33" s="4" t="str">
        <f t="shared" si="128"/>
        <v/>
      </c>
      <c r="MG33" s="4" t="str">
        <f t="shared" si="129"/>
        <v/>
      </c>
      <c r="MH33" s="4" t="str">
        <f t="shared" si="130"/>
        <v/>
      </c>
      <c r="MI33" s="4" t="str">
        <f t="shared" si="131"/>
        <v/>
      </c>
      <c r="MJ33" s="4" t="str">
        <f t="shared" si="132"/>
        <v/>
      </c>
      <c r="MK33" s="4" t="str">
        <f t="shared" si="133"/>
        <v/>
      </c>
      <c r="ML33" s="4" t="str">
        <f t="shared" si="134"/>
        <v/>
      </c>
      <c r="MM33" s="4" t="str">
        <f t="shared" si="135"/>
        <v/>
      </c>
      <c r="MN33" s="4" t="str">
        <f t="shared" si="136"/>
        <v/>
      </c>
      <c r="MO33" s="4" t="str">
        <f t="shared" si="137"/>
        <v/>
      </c>
      <c r="MP33" s="4" t="str">
        <f t="shared" si="138"/>
        <v/>
      </c>
      <c r="MQ33" s="4" t="str">
        <f t="shared" si="139"/>
        <v/>
      </c>
      <c r="MR33" s="4" t="str">
        <f t="shared" si="140"/>
        <v/>
      </c>
      <c r="MS33" s="4" t="str">
        <f t="shared" si="141"/>
        <v/>
      </c>
      <c r="MT33" s="4" t="str">
        <f t="shared" si="142"/>
        <v/>
      </c>
      <c r="MU33" s="4" t="str">
        <f t="shared" si="143"/>
        <v/>
      </c>
      <c r="MV33" s="4" t="str">
        <f t="shared" si="144"/>
        <v/>
      </c>
      <c r="MW33" s="4" t="str">
        <f t="shared" si="145"/>
        <v/>
      </c>
      <c r="MX33" s="4" t="str">
        <f t="shared" si="146"/>
        <v/>
      </c>
      <c r="MY33" s="4" t="str">
        <f t="shared" si="147"/>
        <v/>
      </c>
      <c r="MZ33" s="4" t="str">
        <f t="shared" si="148"/>
        <v/>
      </c>
      <c r="NA33" s="4" t="str">
        <f t="shared" si="149"/>
        <v/>
      </c>
      <c r="NB33" s="4" t="str">
        <f t="shared" si="150"/>
        <v/>
      </c>
      <c r="NC33" s="4" t="str">
        <f t="shared" si="151"/>
        <v/>
      </c>
      <c r="ND33" s="4" t="str">
        <f t="shared" si="152"/>
        <v/>
      </c>
      <c r="NE33" s="4" t="str">
        <f t="shared" si="153"/>
        <v/>
      </c>
      <c r="NF33" s="4" t="str">
        <f t="shared" si="154"/>
        <v/>
      </c>
      <c r="NG33" s="4" t="str">
        <f t="shared" si="155"/>
        <v/>
      </c>
      <c r="NH33" s="4" t="str">
        <f t="shared" si="156"/>
        <v/>
      </c>
      <c r="NI33" s="4" t="str">
        <f t="shared" si="157"/>
        <v/>
      </c>
      <c r="NJ33" s="4" t="str">
        <f t="shared" si="158"/>
        <v/>
      </c>
      <c r="NK33" s="4" t="str">
        <f t="shared" si="159"/>
        <v/>
      </c>
      <c r="NL33" s="4" t="str">
        <f t="shared" si="160"/>
        <v/>
      </c>
      <c r="NM33" s="4" t="str">
        <f t="shared" si="161"/>
        <v/>
      </c>
      <c r="NN33" s="4" t="str">
        <f t="shared" si="162"/>
        <v/>
      </c>
      <c r="NO33" s="4" t="str">
        <f t="shared" si="163"/>
        <v/>
      </c>
      <c r="NP33" s="4" t="str">
        <f t="shared" si="164"/>
        <v/>
      </c>
      <c r="NQ33" s="4" t="str">
        <f t="shared" si="165"/>
        <v/>
      </c>
      <c r="NR33" s="4" t="str">
        <f t="shared" si="166"/>
        <v/>
      </c>
      <c r="NS33" s="4" t="str">
        <f t="shared" si="167"/>
        <v/>
      </c>
      <c r="NT33" s="4" t="str">
        <f t="shared" si="168"/>
        <v/>
      </c>
      <c r="NU33" s="4" t="str">
        <f t="shared" si="169"/>
        <v/>
      </c>
      <c r="NV33" s="4" t="str">
        <f t="shared" si="170"/>
        <v/>
      </c>
      <c r="NW33" s="4" t="str">
        <f t="shared" si="171"/>
        <v/>
      </c>
      <c r="NX33" s="4" t="str">
        <f t="shared" si="172"/>
        <v/>
      </c>
      <c r="NY33" s="4" t="str">
        <f t="shared" si="173"/>
        <v/>
      </c>
      <c r="NZ33" s="4" t="str">
        <f t="shared" si="174"/>
        <v/>
      </c>
      <c r="OA33" s="4" t="str">
        <f t="shared" si="175"/>
        <v/>
      </c>
      <c r="OB33" s="4" t="str">
        <f t="shared" si="176"/>
        <v/>
      </c>
      <c r="OC33" s="4" t="str">
        <f t="shared" si="177"/>
        <v/>
      </c>
      <c r="OD33" s="4" t="str">
        <f t="shared" si="178"/>
        <v/>
      </c>
      <c r="OE33" s="4" t="str">
        <f t="shared" si="179"/>
        <v/>
      </c>
      <c r="OF33" s="4" t="str">
        <f t="shared" si="180"/>
        <v/>
      </c>
      <c r="OG33" s="4" t="str">
        <f t="shared" si="181"/>
        <v/>
      </c>
      <c r="OH33" s="4" t="str">
        <f t="shared" si="182"/>
        <v/>
      </c>
      <c r="OI33" s="4" t="str">
        <f t="shared" si="183"/>
        <v/>
      </c>
      <c r="OJ33" s="4" t="str">
        <f t="shared" si="184"/>
        <v/>
      </c>
      <c r="OK33" s="4" t="str">
        <f t="shared" si="185"/>
        <v/>
      </c>
      <c r="OL33" s="4" t="str">
        <f t="shared" si="186"/>
        <v/>
      </c>
      <c r="OM33" s="4" t="str">
        <f t="shared" si="187"/>
        <v/>
      </c>
      <c r="ON33" s="4" t="str">
        <f t="shared" si="188"/>
        <v/>
      </c>
      <c r="OO33" s="4" t="str">
        <f t="shared" si="189"/>
        <v/>
      </c>
      <c r="OP33" s="4" t="str">
        <f t="shared" si="190"/>
        <v/>
      </c>
      <c r="OQ33" s="4" t="str">
        <f t="shared" si="191"/>
        <v/>
      </c>
      <c r="OR33" s="4" t="str">
        <f t="shared" si="192"/>
        <v/>
      </c>
      <c r="OS33" s="4" t="str">
        <f t="shared" si="193"/>
        <v/>
      </c>
      <c r="OT33" s="4" t="str">
        <f t="shared" si="194"/>
        <v/>
      </c>
      <c r="OU33" s="4" t="str">
        <f t="shared" si="195"/>
        <v/>
      </c>
      <c r="OV33" s="4" t="str">
        <f t="shared" si="196"/>
        <v/>
      </c>
      <c r="OW33" s="4" t="str">
        <f t="shared" si="197"/>
        <v/>
      </c>
      <c r="OX33" s="4" t="str">
        <f t="shared" si="198"/>
        <v/>
      </c>
      <c r="OY33" s="4" t="str">
        <f t="shared" si="199"/>
        <v/>
      </c>
      <c r="OZ33" s="4" t="str">
        <f t="shared" si="200"/>
        <v/>
      </c>
      <c r="PA33" s="4" t="str">
        <f t="shared" si="201"/>
        <v/>
      </c>
      <c r="PB33" s="4" t="str">
        <f t="shared" si="202"/>
        <v/>
      </c>
      <c r="PC33" s="4" t="str">
        <f t="shared" si="203"/>
        <v/>
      </c>
      <c r="PD33" s="4" t="str">
        <f t="shared" si="204"/>
        <v/>
      </c>
      <c r="PE33" s="4" t="str">
        <f t="shared" si="205"/>
        <v/>
      </c>
      <c r="PF33" s="4" t="str">
        <f t="shared" si="206"/>
        <v/>
      </c>
      <c r="PG33" s="4" t="str">
        <f t="shared" si="207"/>
        <v/>
      </c>
      <c r="PH33" s="4" t="str">
        <f t="shared" si="208"/>
        <v/>
      </c>
      <c r="PI33" s="4" t="str">
        <f t="shared" si="209"/>
        <v/>
      </c>
      <c r="PJ33" s="4" t="str">
        <f t="shared" si="210"/>
        <v/>
      </c>
      <c r="PK33" s="4" t="str">
        <f t="shared" si="211"/>
        <v/>
      </c>
      <c r="PL33" s="4" t="str">
        <f t="shared" si="212"/>
        <v/>
      </c>
      <c r="PM33" s="4" t="str">
        <f t="shared" si="213"/>
        <v/>
      </c>
      <c r="PN33" s="4" t="str">
        <f t="shared" si="214"/>
        <v/>
      </c>
      <c r="PO33" s="4" t="str">
        <f t="shared" si="215"/>
        <v/>
      </c>
      <c r="PP33" s="4" t="str">
        <f t="shared" si="216"/>
        <v/>
      </c>
      <c r="PQ33" s="4" t="str">
        <f t="shared" si="217"/>
        <v/>
      </c>
      <c r="PR33" s="4" t="str">
        <f t="shared" si="218"/>
        <v/>
      </c>
      <c r="PS33" s="4" t="str">
        <f t="shared" si="219"/>
        <v/>
      </c>
    </row>
    <row r="34">
      <c r="HI34" s="4" t="str">
        <f t="shared" si="2"/>
        <v/>
      </c>
      <c r="HJ34" s="4" t="str">
        <f t="shared" si="3"/>
        <v/>
      </c>
      <c r="HK34" s="4" t="str">
        <f t="shared" si="4"/>
        <v/>
      </c>
      <c r="HL34" s="4" t="str">
        <f t="shared" si="5"/>
        <v/>
      </c>
      <c r="HM34" s="4" t="str">
        <f t="shared" si="6"/>
        <v/>
      </c>
      <c r="HN34" s="4" t="str">
        <f t="shared" si="7"/>
        <v/>
      </c>
      <c r="HO34" s="4" t="str">
        <f t="shared" si="8"/>
        <v/>
      </c>
      <c r="HP34" s="4" t="str">
        <f t="shared" si="9"/>
        <v/>
      </c>
      <c r="HQ34" s="4" t="str">
        <f t="shared" si="10"/>
        <v/>
      </c>
      <c r="HR34" s="4" t="str">
        <f t="shared" si="11"/>
        <v/>
      </c>
      <c r="HS34" s="4" t="str">
        <f t="shared" si="12"/>
        <v/>
      </c>
      <c r="HT34" s="4" t="str">
        <f t="shared" si="13"/>
        <v/>
      </c>
      <c r="HU34" s="4" t="str">
        <f t="shared" si="14"/>
        <v/>
      </c>
      <c r="HV34" s="4" t="str">
        <f t="shared" si="15"/>
        <v/>
      </c>
      <c r="HW34" s="4" t="str">
        <f t="shared" si="16"/>
        <v/>
      </c>
      <c r="HX34" s="4" t="str">
        <f t="shared" si="17"/>
        <v/>
      </c>
      <c r="HY34" s="4" t="str">
        <f t="shared" si="18"/>
        <v/>
      </c>
      <c r="HZ34" s="4" t="str">
        <f t="shared" si="19"/>
        <v/>
      </c>
      <c r="IA34" s="4" t="str">
        <f t="shared" si="20"/>
        <v/>
      </c>
      <c r="IB34" s="4" t="str">
        <f t="shared" si="21"/>
        <v/>
      </c>
      <c r="IC34" s="4" t="str">
        <f t="shared" si="22"/>
        <v/>
      </c>
      <c r="ID34" s="4" t="str">
        <f t="shared" si="23"/>
        <v/>
      </c>
      <c r="IE34" s="4" t="str">
        <f t="shared" si="24"/>
        <v/>
      </c>
      <c r="IF34" s="4" t="str">
        <f t="shared" si="25"/>
        <v/>
      </c>
      <c r="IG34" s="4" t="str">
        <f t="shared" si="26"/>
        <v/>
      </c>
      <c r="IH34" s="4" t="str">
        <f t="shared" si="27"/>
        <v/>
      </c>
      <c r="II34" s="4" t="str">
        <f t="shared" si="28"/>
        <v/>
      </c>
      <c r="IJ34" s="4" t="str">
        <f t="shared" si="29"/>
        <v/>
      </c>
      <c r="IK34" s="4" t="str">
        <f t="shared" si="30"/>
        <v/>
      </c>
      <c r="IL34" s="4" t="str">
        <f t="shared" si="31"/>
        <v/>
      </c>
      <c r="IM34" s="4" t="str">
        <f t="shared" si="32"/>
        <v/>
      </c>
      <c r="IN34" s="4" t="str">
        <f t="shared" si="33"/>
        <v/>
      </c>
      <c r="IO34" s="4" t="str">
        <f t="shared" si="34"/>
        <v/>
      </c>
      <c r="IP34" s="4" t="str">
        <f t="shared" si="35"/>
        <v/>
      </c>
      <c r="IQ34" s="4" t="str">
        <f t="shared" si="36"/>
        <v/>
      </c>
      <c r="IR34" s="4" t="str">
        <f t="shared" si="37"/>
        <v/>
      </c>
      <c r="IS34" s="4" t="str">
        <f t="shared" si="38"/>
        <v/>
      </c>
      <c r="IT34" s="4" t="str">
        <f t="shared" si="39"/>
        <v/>
      </c>
      <c r="IU34" s="4" t="str">
        <f t="shared" si="40"/>
        <v/>
      </c>
      <c r="IV34" s="4" t="str">
        <f t="shared" si="41"/>
        <v/>
      </c>
      <c r="IW34" s="4" t="str">
        <f t="shared" si="42"/>
        <v/>
      </c>
      <c r="IX34" s="4" t="str">
        <f t="shared" si="43"/>
        <v/>
      </c>
      <c r="IY34" s="4" t="str">
        <f t="shared" si="44"/>
        <v/>
      </c>
      <c r="IZ34" s="4" t="str">
        <f t="shared" si="45"/>
        <v/>
      </c>
      <c r="JA34" s="4" t="str">
        <f t="shared" ref="JA34:JB34" si="250">if(ISERROR(SEARCH("Higher Education",BB34)),"","810")</f>
        <v/>
      </c>
      <c r="JB34" s="4" t="str">
        <f t="shared" si="250"/>
        <v/>
      </c>
      <c r="JC34" s="4" t="str">
        <f t="shared" si="47"/>
        <v/>
      </c>
      <c r="JD34" s="4" t="str">
        <f t="shared" si="48"/>
        <v/>
      </c>
      <c r="JE34" s="4" t="str">
        <f t="shared" si="49"/>
        <v/>
      </c>
      <c r="JF34" s="4" t="str">
        <f t="shared" si="50"/>
        <v/>
      </c>
      <c r="JG34" s="4" t="str">
        <f t="shared" si="51"/>
        <v/>
      </c>
      <c r="JH34" s="4" t="str">
        <f t="shared" si="52"/>
        <v/>
      </c>
      <c r="JI34" s="4" t="str">
        <f t="shared" si="53"/>
        <v/>
      </c>
      <c r="JJ34" s="4" t="str">
        <f t="shared" si="54"/>
        <v/>
      </c>
      <c r="JK34" s="4" t="str">
        <f t="shared" si="55"/>
        <v/>
      </c>
      <c r="JL34" s="4" t="str">
        <f t="shared" si="56"/>
        <v/>
      </c>
      <c r="JM34" s="4" t="str">
        <f t="shared" si="57"/>
        <v/>
      </c>
      <c r="JN34" s="4" t="str">
        <f t="shared" si="58"/>
        <v/>
      </c>
      <c r="JO34" s="4" t="str">
        <f t="shared" si="59"/>
        <v/>
      </c>
      <c r="JP34" s="4" t="str">
        <f t="shared" si="60"/>
        <v/>
      </c>
      <c r="JQ34" s="4" t="str">
        <f t="shared" si="61"/>
        <v/>
      </c>
      <c r="JR34" s="4" t="str">
        <f t="shared" si="62"/>
        <v/>
      </c>
      <c r="JS34" s="4" t="str">
        <f t="shared" si="63"/>
        <v/>
      </c>
      <c r="JT34" s="4" t="str">
        <f t="shared" si="64"/>
        <v/>
      </c>
      <c r="JU34" s="4" t="str">
        <f t="shared" si="65"/>
        <v/>
      </c>
      <c r="JV34" s="4" t="str">
        <f t="shared" si="66"/>
        <v/>
      </c>
      <c r="JW34" s="4" t="str">
        <f t="shared" si="67"/>
        <v/>
      </c>
      <c r="JX34" s="4" t="str">
        <f t="shared" si="68"/>
        <v/>
      </c>
      <c r="JY34" s="4" t="str">
        <f t="shared" si="69"/>
        <v/>
      </c>
      <c r="JZ34" s="4" t="str">
        <f t="shared" si="70"/>
        <v/>
      </c>
      <c r="KA34" s="4" t="str">
        <f t="shared" si="71"/>
        <v/>
      </c>
      <c r="KB34" s="4" t="str">
        <f t="shared" si="72"/>
        <v/>
      </c>
      <c r="KC34" s="4" t="str">
        <f t="shared" si="73"/>
        <v/>
      </c>
      <c r="KD34" s="4" t="str">
        <f t="shared" si="74"/>
        <v/>
      </c>
      <c r="KE34" s="4" t="str">
        <f t="shared" si="75"/>
        <v/>
      </c>
      <c r="KF34" s="4" t="str">
        <f t="shared" si="76"/>
        <v/>
      </c>
      <c r="KG34" s="4" t="str">
        <f t="shared" si="77"/>
        <v/>
      </c>
      <c r="KH34" s="4" t="str">
        <f t="shared" si="78"/>
        <v/>
      </c>
      <c r="KI34" s="4" t="str">
        <f t="shared" si="79"/>
        <v/>
      </c>
      <c r="KJ34" s="4" t="str">
        <f t="shared" si="80"/>
        <v/>
      </c>
      <c r="KK34" s="4" t="str">
        <f t="shared" si="81"/>
        <v/>
      </c>
      <c r="KL34" s="4" t="str">
        <f t="shared" si="82"/>
        <v/>
      </c>
      <c r="KM34" s="4" t="str">
        <f t="shared" si="83"/>
        <v/>
      </c>
      <c r="KN34" s="4" t="str">
        <f t="shared" si="84"/>
        <v/>
      </c>
      <c r="KO34" s="4" t="str">
        <f t="shared" si="85"/>
        <v/>
      </c>
      <c r="KP34" s="4" t="str">
        <f t="shared" si="86"/>
        <v/>
      </c>
      <c r="KQ34" s="4" t="str">
        <f t="shared" si="87"/>
        <v/>
      </c>
      <c r="KR34" s="4" t="str">
        <f t="shared" si="88"/>
        <v/>
      </c>
      <c r="KS34" s="4" t="str">
        <f t="shared" si="89"/>
        <v/>
      </c>
      <c r="KT34" s="4" t="str">
        <f t="shared" si="90"/>
        <v/>
      </c>
      <c r="KU34" s="4" t="str">
        <f t="shared" si="91"/>
        <v/>
      </c>
      <c r="KV34" s="4" t="str">
        <f t="shared" si="92"/>
        <v/>
      </c>
      <c r="KW34" s="4" t="str">
        <f t="shared" si="93"/>
        <v/>
      </c>
      <c r="KX34" s="4" t="str">
        <f t="shared" si="94"/>
        <v/>
      </c>
      <c r="KY34" s="4" t="str">
        <f t="shared" si="95"/>
        <v/>
      </c>
      <c r="KZ34" s="4" t="str">
        <f t="shared" si="96"/>
        <v/>
      </c>
      <c r="LA34" s="4" t="str">
        <f t="shared" si="97"/>
        <v/>
      </c>
      <c r="LB34" s="4" t="str">
        <f t="shared" si="98"/>
        <v/>
      </c>
      <c r="LC34" s="4" t="str">
        <f t="shared" si="99"/>
        <v/>
      </c>
      <c r="LD34" s="4" t="str">
        <f t="shared" si="100"/>
        <v/>
      </c>
      <c r="LE34" s="4" t="str">
        <f t="shared" si="101"/>
        <v/>
      </c>
      <c r="LF34" s="4" t="str">
        <f t="shared" si="102"/>
        <v/>
      </c>
      <c r="LG34" s="4" t="str">
        <f t="shared" si="103"/>
        <v/>
      </c>
      <c r="LH34" s="4" t="str">
        <f t="shared" si="104"/>
        <v/>
      </c>
      <c r="LI34" s="4" t="str">
        <f t="shared" si="105"/>
        <v/>
      </c>
      <c r="LJ34" s="4" t="str">
        <f t="shared" si="106"/>
        <v/>
      </c>
      <c r="LK34" s="4" t="str">
        <f t="shared" si="107"/>
        <v/>
      </c>
      <c r="LL34" s="4" t="str">
        <f t="shared" si="108"/>
        <v/>
      </c>
      <c r="LM34" s="4" t="str">
        <f t="shared" si="109"/>
        <v/>
      </c>
      <c r="LN34" s="4" t="str">
        <f t="shared" si="110"/>
        <v/>
      </c>
      <c r="LO34" s="4" t="str">
        <f t="shared" si="111"/>
        <v/>
      </c>
      <c r="LP34" s="4" t="str">
        <f t="shared" si="112"/>
        <v/>
      </c>
      <c r="LQ34" s="4" t="str">
        <f t="shared" si="113"/>
        <v/>
      </c>
      <c r="LR34" s="4" t="str">
        <f t="shared" si="114"/>
        <v/>
      </c>
      <c r="LS34" s="4" t="str">
        <f t="shared" si="115"/>
        <v/>
      </c>
      <c r="LT34" s="4" t="str">
        <f t="shared" si="116"/>
        <v/>
      </c>
      <c r="LU34" s="4" t="str">
        <f t="shared" si="117"/>
        <v/>
      </c>
      <c r="LV34" s="4" t="str">
        <f t="shared" si="118"/>
        <v/>
      </c>
      <c r="LW34" s="4" t="str">
        <f t="shared" si="119"/>
        <v/>
      </c>
      <c r="LX34" s="4" t="str">
        <f t="shared" si="120"/>
        <v/>
      </c>
      <c r="LY34" s="4" t="str">
        <f t="shared" si="121"/>
        <v/>
      </c>
      <c r="LZ34" s="4" t="str">
        <f t="shared" si="122"/>
        <v/>
      </c>
      <c r="MA34" s="4" t="str">
        <f t="shared" si="123"/>
        <v/>
      </c>
      <c r="MB34" s="4" t="str">
        <f t="shared" si="124"/>
        <v/>
      </c>
      <c r="MC34" s="4" t="str">
        <f t="shared" si="125"/>
        <v/>
      </c>
      <c r="MD34" s="4" t="str">
        <f t="shared" si="126"/>
        <v/>
      </c>
      <c r="ME34" s="4" t="str">
        <f t="shared" si="127"/>
        <v/>
      </c>
      <c r="MF34" s="4" t="str">
        <f t="shared" si="128"/>
        <v/>
      </c>
      <c r="MG34" s="4" t="str">
        <f t="shared" si="129"/>
        <v/>
      </c>
      <c r="MH34" s="4" t="str">
        <f t="shared" si="130"/>
        <v/>
      </c>
      <c r="MI34" s="4" t="str">
        <f t="shared" si="131"/>
        <v/>
      </c>
      <c r="MJ34" s="4" t="str">
        <f t="shared" si="132"/>
        <v/>
      </c>
      <c r="MK34" s="4" t="str">
        <f t="shared" si="133"/>
        <v/>
      </c>
      <c r="ML34" s="4" t="str">
        <f t="shared" si="134"/>
        <v/>
      </c>
      <c r="MM34" s="4" t="str">
        <f t="shared" si="135"/>
        <v/>
      </c>
      <c r="MN34" s="4" t="str">
        <f t="shared" si="136"/>
        <v/>
      </c>
      <c r="MO34" s="4" t="str">
        <f t="shared" si="137"/>
        <v/>
      </c>
      <c r="MP34" s="4" t="str">
        <f t="shared" si="138"/>
        <v/>
      </c>
      <c r="MQ34" s="4" t="str">
        <f t="shared" si="139"/>
        <v/>
      </c>
      <c r="MR34" s="4" t="str">
        <f t="shared" si="140"/>
        <v/>
      </c>
      <c r="MS34" s="4" t="str">
        <f t="shared" si="141"/>
        <v/>
      </c>
      <c r="MT34" s="4" t="str">
        <f t="shared" si="142"/>
        <v/>
      </c>
      <c r="MU34" s="4" t="str">
        <f t="shared" si="143"/>
        <v/>
      </c>
      <c r="MV34" s="4" t="str">
        <f t="shared" si="144"/>
        <v/>
      </c>
      <c r="MW34" s="4" t="str">
        <f t="shared" si="145"/>
        <v/>
      </c>
      <c r="MX34" s="4" t="str">
        <f t="shared" si="146"/>
        <v/>
      </c>
      <c r="MY34" s="4" t="str">
        <f t="shared" si="147"/>
        <v/>
      </c>
      <c r="MZ34" s="4" t="str">
        <f t="shared" si="148"/>
        <v/>
      </c>
      <c r="NA34" s="4" t="str">
        <f t="shared" si="149"/>
        <v/>
      </c>
      <c r="NB34" s="4" t="str">
        <f t="shared" si="150"/>
        <v/>
      </c>
      <c r="NC34" s="4" t="str">
        <f t="shared" si="151"/>
        <v/>
      </c>
      <c r="ND34" s="4" t="str">
        <f t="shared" si="152"/>
        <v/>
      </c>
      <c r="NE34" s="4" t="str">
        <f t="shared" si="153"/>
        <v/>
      </c>
      <c r="NF34" s="4" t="str">
        <f t="shared" si="154"/>
        <v/>
      </c>
      <c r="NG34" s="4" t="str">
        <f t="shared" si="155"/>
        <v/>
      </c>
      <c r="NH34" s="4" t="str">
        <f t="shared" si="156"/>
        <v/>
      </c>
      <c r="NI34" s="4" t="str">
        <f t="shared" si="157"/>
        <v/>
      </c>
      <c r="NJ34" s="4" t="str">
        <f t="shared" si="158"/>
        <v/>
      </c>
      <c r="NK34" s="4" t="str">
        <f t="shared" si="159"/>
        <v/>
      </c>
      <c r="NL34" s="4" t="str">
        <f t="shared" si="160"/>
        <v/>
      </c>
      <c r="NM34" s="4" t="str">
        <f t="shared" si="161"/>
        <v/>
      </c>
      <c r="NN34" s="4" t="str">
        <f t="shared" si="162"/>
        <v/>
      </c>
      <c r="NO34" s="4" t="str">
        <f t="shared" si="163"/>
        <v/>
      </c>
      <c r="NP34" s="4" t="str">
        <f t="shared" si="164"/>
        <v/>
      </c>
      <c r="NQ34" s="4" t="str">
        <f t="shared" si="165"/>
        <v/>
      </c>
      <c r="NR34" s="4" t="str">
        <f t="shared" si="166"/>
        <v/>
      </c>
      <c r="NS34" s="4" t="str">
        <f t="shared" si="167"/>
        <v/>
      </c>
      <c r="NT34" s="4" t="str">
        <f t="shared" si="168"/>
        <v/>
      </c>
      <c r="NU34" s="4" t="str">
        <f t="shared" si="169"/>
        <v/>
      </c>
      <c r="NV34" s="4" t="str">
        <f t="shared" si="170"/>
        <v/>
      </c>
      <c r="NW34" s="4" t="str">
        <f t="shared" si="171"/>
        <v/>
      </c>
      <c r="NX34" s="4" t="str">
        <f t="shared" si="172"/>
        <v/>
      </c>
      <c r="NY34" s="4" t="str">
        <f t="shared" si="173"/>
        <v/>
      </c>
      <c r="NZ34" s="4" t="str">
        <f t="shared" si="174"/>
        <v/>
      </c>
      <c r="OA34" s="4" t="str">
        <f t="shared" si="175"/>
        <v/>
      </c>
      <c r="OB34" s="4" t="str">
        <f t="shared" si="176"/>
        <v/>
      </c>
      <c r="OC34" s="4" t="str">
        <f t="shared" si="177"/>
        <v/>
      </c>
      <c r="OD34" s="4" t="str">
        <f t="shared" si="178"/>
        <v/>
      </c>
      <c r="OE34" s="4" t="str">
        <f t="shared" si="179"/>
        <v/>
      </c>
      <c r="OF34" s="4" t="str">
        <f t="shared" si="180"/>
        <v/>
      </c>
      <c r="OG34" s="4" t="str">
        <f t="shared" si="181"/>
        <v/>
      </c>
      <c r="OH34" s="4" t="str">
        <f t="shared" si="182"/>
        <v/>
      </c>
      <c r="OI34" s="4" t="str">
        <f t="shared" si="183"/>
        <v/>
      </c>
      <c r="OJ34" s="4" t="str">
        <f t="shared" si="184"/>
        <v/>
      </c>
      <c r="OK34" s="4" t="str">
        <f t="shared" si="185"/>
        <v/>
      </c>
      <c r="OL34" s="4" t="str">
        <f t="shared" si="186"/>
        <v/>
      </c>
      <c r="OM34" s="4" t="str">
        <f t="shared" si="187"/>
        <v/>
      </c>
      <c r="ON34" s="4" t="str">
        <f t="shared" si="188"/>
        <v/>
      </c>
      <c r="OO34" s="4" t="str">
        <f t="shared" si="189"/>
        <v/>
      </c>
      <c r="OP34" s="4" t="str">
        <f t="shared" si="190"/>
        <v/>
      </c>
      <c r="OQ34" s="4" t="str">
        <f t="shared" si="191"/>
        <v/>
      </c>
      <c r="OR34" s="4" t="str">
        <f t="shared" si="192"/>
        <v/>
      </c>
      <c r="OS34" s="4" t="str">
        <f t="shared" si="193"/>
        <v/>
      </c>
      <c r="OT34" s="4" t="str">
        <f t="shared" si="194"/>
        <v/>
      </c>
      <c r="OU34" s="4" t="str">
        <f t="shared" si="195"/>
        <v/>
      </c>
      <c r="OV34" s="4" t="str">
        <f t="shared" si="196"/>
        <v/>
      </c>
      <c r="OW34" s="4" t="str">
        <f t="shared" si="197"/>
        <v/>
      </c>
      <c r="OX34" s="4" t="str">
        <f t="shared" si="198"/>
        <v/>
      </c>
      <c r="OY34" s="4" t="str">
        <f t="shared" si="199"/>
        <v/>
      </c>
      <c r="OZ34" s="4" t="str">
        <f t="shared" si="200"/>
        <v/>
      </c>
      <c r="PA34" s="4" t="str">
        <f t="shared" si="201"/>
        <v/>
      </c>
      <c r="PB34" s="4" t="str">
        <f t="shared" si="202"/>
        <v/>
      </c>
      <c r="PC34" s="4" t="str">
        <f t="shared" si="203"/>
        <v/>
      </c>
      <c r="PD34" s="4" t="str">
        <f t="shared" si="204"/>
        <v/>
      </c>
      <c r="PE34" s="4" t="str">
        <f t="shared" si="205"/>
        <v/>
      </c>
      <c r="PF34" s="4" t="str">
        <f t="shared" si="206"/>
        <v/>
      </c>
      <c r="PG34" s="4" t="str">
        <f t="shared" si="207"/>
        <v/>
      </c>
      <c r="PH34" s="4" t="str">
        <f t="shared" si="208"/>
        <v/>
      </c>
      <c r="PI34" s="4" t="str">
        <f t="shared" si="209"/>
        <v/>
      </c>
      <c r="PJ34" s="4" t="str">
        <f t="shared" si="210"/>
        <v/>
      </c>
      <c r="PK34" s="4" t="str">
        <f t="shared" si="211"/>
        <v/>
      </c>
      <c r="PL34" s="4" t="str">
        <f t="shared" si="212"/>
        <v/>
      </c>
      <c r="PM34" s="4" t="str">
        <f t="shared" si="213"/>
        <v/>
      </c>
      <c r="PN34" s="4" t="str">
        <f t="shared" si="214"/>
        <v/>
      </c>
      <c r="PO34" s="4" t="str">
        <f t="shared" si="215"/>
        <v/>
      </c>
      <c r="PP34" s="4" t="str">
        <f t="shared" si="216"/>
        <v/>
      </c>
      <c r="PQ34" s="4" t="str">
        <f t="shared" si="217"/>
        <v/>
      </c>
      <c r="PR34" s="4" t="str">
        <f t="shared" si="218"/>
        <v/>
      </c>
      <c r="PS34" s="4" t="str">
        <f t="shared" si="219"/>
        <v/>
      </c>
    </row>
    <row r="35">
      <c r="HI35" s="4" t="str">
        <f t="shared" si="2"/>
        <v/>
      </c>
      <c r="HJ35" s="4" t="str">
        <f t="shared" si="3"/>
        <v/>
      </c>
      <c r="HK35" s="4" t="str">
        <f t="shared" si="4"/>
        <v/>
      </c>
      <c r="HL35" s="4" t="str">
        <f t="shared" si="5"/>
        <v/>
      </c>
      <c r="HM35" s="4" t="str">
        <f t="shared" si="6"/>
        <v/>
      </c>
      <c r="HN35" s="4" t="str">
        <f t="shared" si="7"/>
        <v/>
      </c>
      <c r="HO35" s="4" t="str">
        <f t="shared" si="8"/>
        <v/>
      </c>
      <c r="HP35" s="4" t="str">
        <f t="shared" si="9"/>
        <v/>
      </c>
      <c r="HQ35" s="4" t="str">
        <f t="shared" si="10"/>
        <v/>
      </c>
      <c r="HR35" s="4" t="str">
        <f t="shared" si="11"/>
        <v/>
      </c>
      <c r="HS35" s="4" t="str">
        <f t="shared" si="12"/>
        <v/>
      </c>
      <c r="HT35" s="4" t="str">
        <f t="shared" si="13"/>
        <v/>
      </c>
      <c r="HU35" s="4" t="str">
        <f t="shared" si="14"/>
        <v/>
      </c>
      <c r="HV35" s="4" t="str">
        <f t="shared" si="15"/>
        <v/>
      </c>
      <c r="HW35" s="4" t="str">
        <f t="shared" si="16"/>
        <v/>
      </c>
      <c r="HX35" s="4" t="str">
        <f t="shared" si="17"/>
        <v/>
      </c>
      <c r="HY35" s="4" t="str">
        <f t="shared" si="18"/>
        <v/>
      </c>
      <c r="HZ35" s="4" t="str">
        <f t="shared" si="19"/>
        <v/>
      </c>
      <c r="IA35" s="4" t="str">
        <f t="shared" si="20"/>
        <v/>
      </c>
      <c r="IB35" s="4" t="str">
        <f t="shared" si="21"/>
        <v/>
      </c>
      <c r="IC35" s="4" t="str">
        <f t="shared" si="22"/>
        <v/>
      </c>
      <c r="ID35" s="4" t="str">
        <f t="shared" si="23"/>
        <v/>
      </c>
      <c r="IE35" s="4" t="str">
        <f t="shared" si="24"/>
        <v/>
      </c>
      <c r="IF35" s="4" t="str">
        <f t="shared" si="25"/>
        <v/>
      </c>
      <c r="IG35" s="4" t="str">
        <f t="shared" si="26"/>
        <v/>
      </c>
      <c r="IH35" s="4" t="str">
        <f t="shared" si="27"/>
        <v/>
      </c>
      <c r="II35" s="4" t="str">
        <f t="shared" si="28"/>
        <v/>
      </c>
      <c r="IJ35" s="4" t="str">
        <f t="shared" si="29"/>
        <v/>
      </c>
      <c r="IK35" s="4" t="str">
        <f t="shared" si="30"/>
        <v/>
      </c>
      <c r="IL35" s="4" t="str">
        <f t="shared" si="31"/>
        <v/>
      </c>
      <c r="IM35" s="4" t="str">
        <f t="shared" si="32"/>
        <v/>
      </c>
      <c r="IN35" s="4" t="str">
        <f t="shared" si="33"/>
        <v/>
      </c>
      <c r="IO35" s="4" t="str">
        <f t="shared" si="34"/>
        <v/>
      </c>
      <c r="IP35" s="4" t="str">
        <f t="shared" si="35"/>
        <v/>
      </c>
      <c r="IQ35" s="4" t="str">
        <f t="shared" si="36"/>
        <v/>
      </c>
      <c r="IR35" s="4" t="str">
        <f t="shared" si="37"/>
        <v/>
      </c>
      <c r="IS35" s="4" t="str">
        <f t="shared" si="38"/>
        <v/>
      </c>
      <c r="IT35" s="4" t="str">
        <f t="shared" si="39"/>
        <v/>
      </c>
      <c r="IU35" s="4" t="str">
        <f t="shared" si="40"/>
        <v/>
      </c>
      <c r="IV35" s="4" t="str">
        <f t="shared" si="41"/>
        <v/>
      </c>
      <c r="IW35" s="4" t="str">
        <f t="shared" si="42"/>
        <v/>
      </c>
      <c r="IX35" s="4" t="str">
        <f t="shared" si="43"/>
        <v/>
      </c>
      <c r="IY35" s="4" t="str">
        <f t="shared" si="44"/>
        <v/>
      </c>
      <c r="IZ35" s="4" t="str">
        <f t="shared" si="45"/>
        <v/>
      </c>
      <c r="JA35" s="4" t="str">
        <f t="shared" ref="JA35:JB35" si="251">if(ISERROR(SEARCH("Higher Education",BB35)),"","810")</f>
        <v/>
      </c>
      <c r="JB35" s="4" t="str">
        <f t="shared" si="251"/>
        <v/>
      </c>
      <c r="JC35" s="4" t="str">
        <f t="shared" si="47"/>
        <v/>
      </c>
      <c r="JD35" s="4" t="str">
        <f t="shared" si="48"/>
        <v/>
      </c>
      <c r="JE35" s="4" t="str">
        <f t="shared" si="49"/>
        <v/>
      </c>
      <c r="JF35" s="4" t="str">
        <f t="shared" si="50"/>
        <v/>
      </c>
      <c r="JG35" s="4" t="str">
        <f t="shared" si="51"/>
        <v/>
      </c>
      <c r="JH35" s="4" t="str">
        <f t="shared" si="52"/>
        <v/>
      </c>
      <c r="JI35" s="4" t="str">
        <f t="shared" si="53"/>
        <v/>
      </c>
      <c r="JJ35" s="4" t="str">
        <f t="shared" si="54"/>
        <v/>
      </c>
      <c r="JK35" s="4" t="str">
        <f t="shared" si="55"/>
        <v/>
      </c>
      <c r="JL35" s="4" t="str">
        <f t="shared" si="56"/>
        <v/>
      </c>
      <c r="JM35" s="4" t="str">
        <f t="shared" si="57"/>
        <v/>
      </c>
      <c r="JN35" s="4" t="str">
        <f t="shared" si="58"/>
        <v/>
      </c>
      <c r="JO35" s="4" t="str">
        <f t="shared" si="59"/>
        <v/>
      </c>
      <c r="JP35" s="4" t="str">
        <f t="shared" si="60"/>
        <v/>
      </c>
      <c r="JQ35" s="4" t="str">
        <f t="shared" si="61"/>
        <v/>
      </c>
      <c r="JR35" s="4" t="str">
        <f t="shared" si="62"/>
        <v/>
      </c>
      <c r="JS35" s="4" t="str">
        <f t="shared" si="63"/>
        <v/>
      </c>
      <c r="JT35" s="4" t="str">
        <f t="shared" si="64"/>
        <v/>
      </c>
      <c r="JU35" s="4" t="str">
        <f t="shared" si="65"/>
        <v/>
      </c>
      <c r="JV35" s="4" t="str">
        <f t="shared" si="66"/>
        <v/>
      </c>
      <c r="JW35" s="4" t="str">
        <f t="shared" si="67"/>
        <v/>
      </c>
      <c r="JX35" s="4" t="str">
        <f t="shared" si="68"/>
        <v/>
      </c>
      <c r="JY35" s="4" t="str">
        <f t="shared" si="69"/>
        <v/>
      </c>
      <c r="JZ35" s="4" t="str">
        <f t="shared" si="70"/>
        <v/>
      </c>
      <c r="KA35" s="4" t="str">
        <f t="shared" si="71"/>
        <v/>
      </c>
      <c r="KB35" s="4" t="str">
        <f t="shared" si="72"/>
        <v/>
      </c>
      <c r="KC35" s="4" t="str">
        <f t="shared" si="73"/>
        <v/>
      </c>
      <c r="KD35" s="4" t="str">
        <f t="shared" si="74"/>
        <v/>
      </c>
      <c r="KE35" s="4" t="str">
        <f t="shared" si="75"/>
        <v/>
      </c>
      <c r="KF35" s="4" t="str">
        <f t="shared" si="76"/>
        <v/>
      </c>
      <c r="KG35" s="4" t="str">
        <f t="shared" si="77"/>
        <v/>
      </c>
      <c r="KH35" s="4" t="str">
        <f t="shared" si="78"/>
        <v/>
      </c>
      <c r="KI35" s="4" t="str">
        <f t="shared" si="79"/>
        <v/>
      </c>
      <c r="KJ35" s="4" t="str">
        <f t="shared" si="80"/>
        <v/>
      </c>
      <c r="KK35" s="4" t="str">
        <f t="shared" si="81"/>
        <v/>
      </c>
      <c r="KL35" s="4" t="str">
        <f t="shared" si="82"/>
        <v/>
      </c>
      <c r="KM35" s="4" t="str">
        <f t="shared" si="83"/>
        <v/>
      </c>
      <c r="KN35" s="4" t="str">
        <f t="shared" si="84"/>
        <v/>
      </c>
      <c r="KO35" s="4" t="str">
        <f t="shared" si="85"/>
        <v/>
      </c>
      <c r="KP35" s="4" t="str">
        <f t="shared" si="86"/>
        <v/>
      </c>
      <c r="KQ35" s="4" t="str">
        <f t="shared" si="87"/>
        <v/>
      </c>
      <c r="KR35" s="4" t="str">
        <f t="shared" si="88"/>
        <v/>
      </c>
      <c r="KS35" s="4" t="str">
        <f t="shared" si="89"/>
        <v/>
      </c>
      <c r="KT35" s="4" t="str">
        <f t="shared" si="90"/>
        <v/>
      </c>
      <c r="KU35" s="4" t="str">
        <f t="shared" si="91"/>
        <v/>
      </c>
      <c r="KV35" s="4" t="str">
        <f t="shared" si="92"/>
        <v/>
      </c>
      <c r="KW35" s="4" t="str">
        <f t="shared" si="93"/>
        <v/>
      </c>
      <c r="KX35" s="4" t="str">
        <f t="shared" si="94"/>
        <v/>
      </c>
      <c r="KY35" s="4" t="str">
        <f t="shared" si="95"/>
        <v/>
      </c>
      <c r="KZ35" s="4" t="str">
        <f t="shared" si="96"/>
        <v/>
      </c>
      <c r="LA35" s="4" t="str">
        <f t="shared" si="97"/>
        <v/>
      </c>
      <c r="LB35" s="4" t="str">
        <f t="shared" si="98"/>
        <v/>
      </c>
      <c r="LC35" s="4" t="str">
        <f t="shared" si="99"/>
        <v/>
      </c>
      <c r="LD35" s="4" t="str">
        <f t="shared" si="100"/>
        <v/>
      </c>
      <c r="LE35" s="4" t="str">
        <f t="shared" si="101"/>
        <v/>
      </c>
      <c r="LF35" s="4" t="str">
        <f t="shared" si="102"/>
        <v/>
      </c>
      <c r="LG35" s="4" t="str">
        <f t="shared" si="103"/>
        <v/>
      </c>
      <c r="LH35" s="4" t="str">
        <f t="shared" si="104"/>
        <v/>
      </c>
      <c r="LI35" s="4" t="str">
        <f t="shared" si="105"/>
        <v/>
      </c>
      <c r="LJ35" s="4" t="str">
        <f t="shared" si="106"/>
        <v/>
      </c>
      <c r="LK35" s="4" t="str">
        <f t="shared" si="107"/>
        <v/>
      </c>
      <c r="LL35" s="4" t="str">
        <f t="shared" si="108"/>
        <v/>
      </c>
      <c r="LM35" s="4" t="str">
        <f t="shared" si="109"/>
        <v/>
      </c>
      <c r="LN35" s="4" t="str">
        <f t="shared" si="110"/>
        <v/>
      </c>
      <c r="LO35" s="4" t="str">
        <f t="shared" si="111"/>
        <v/>
      </c>
      <c r="LP35" s="4" t="str">
        <f t="shared" si="112"/>
        <v/>
      </c>
      <c r="LQ35" s="4" t="str">
        <f t="shared" si="113"/>
        <v/>
      </c>
      <c r="LR35" s="4" t="str">
        <f t="shared" si="114"/>
        <v/>
      </c>
      <c r="LS35" s="4" t="str">
        <f t="shared" si="115"/>
        <v/>
      </c>
      <c r="LT35" s="4" t="str">
        <f t="shared" si="116"/>
        <v/>
      </c>
      <c r="LU35" s="4" t="str">
        <f t="shared" si="117"/>
        <v/>
      </c>
      <c r="LV35" s="4" t="str">
        <f t="shared" si="118"/>
        <v/>
      </c>
      <c r="LW35" s="4" t="str">
        <f t="shared" si="119"/>
        <v/>
      </c>
      <c r="LX35" s="4" t="str">
        <f t="shared" si="120"/>
        <v/>
      </c>
      <c r="LY35" s="4" t="str">
        <f t="shared" si="121"/>
        <v/>
      </c>
      <c r="LZ35" s="4" t="str">
        <f t="shared" si="122"/>
        <v/>
      </c>
      <c r="MA35" s="4" t="str">
        <f t="shared" si="123"/>
        <v/>
      </c>
      <c r="MB35" s="4" t="str">
        <f t="shared" si="124"/>
        <v/>
      </c>
      <c r="MC35" s="4" t="str">
        <f t="shared" si="125"/>
        <v/>
      </c>
      <c r="MD35" s="4" t="str">
        <f t="shared" si="126"/>
        <v/>
      </c>
      <c r="ME35" s="4" t="str">
        <f t="shared" si="127"/>
        <v/>
      </c>
      <c r="MF35" s="4" t="str">
        <f t="shared" si="128"/>
        <v/>
      </c>
      <c r="MG35" s="4" t="str">
        <f t="shared" si="129"/>
        <v/>
      </c>
      <c r="MH35" s="4" t="str">
        <f t="shared" si="130"/>
        <v/>
      </c>
      <c r="MI35" s="4" t="str">
        <f t="shared" si="131"/>
        <v/>
      </c>
      <c r="MJ35" s="4" t="str">
        <f t="shared" si="132"/>
        <v/>
      </c>
      <c r="MK35" s="4" t="str">
        <f t="shared" si="133"/>
        <v/>
      </c>
      <c r="ML35" s="4" t="str">
        <f t="shared" si="134"/>
        <v/>
      </c>
      <c r="MM35" s="4" t="str">
        <f t="shared" si="135"/>
        <v/>
      </c>
      <c r="MN35" s="4" t="str">
        <f t="shared" si="136"/>
        <v/>
      </c>
      <c r="MO35" s="4" t="str">
        <f t="shared" si="137"/>
        <v/>
      </c>
      <c r="MP35" s="4" t="str">
        <f t="shared" si="138"/>
        <v/>
      </c>
      <c r="MQ35" s="4" t="str">
        <f t="shared" si="139"/>
        <v/>
      </c>
      <c r="MR35" s="4" t="str">
        <f t="shared" si="140"/>
        <v/>
      </c>
      <c r="MS35" s="4" t="str">
        <f t="shared" si="141"/>
        <v/>
      </c>
      <c r="MT35" s="4" t="str">
        <f t="shared" si="142"/>
        <v/>
      </c>
      <c r="MU35" s="4" t="str">
        <f t="shared" si="143"/>
        <v/>
      </c>
      <c r="MV35" s="4" t="str">
        <f t="shared" si="144"/>
        <v/>
      </c>
      <c r="MW35" s="4" t="str">
        <f t="shared" si="145"/>
        <v/>
      </c>
      <c r="MX35" s="4" t="str">
        <f t="shared" si="146"/>
        <v/>
      </c>
      <c r="MY35" s="4" t="str">
        <f t="shared" si="147"/>
        <v/>
      </c>
      <c r="MZ35" s="4" t="str">
        <f t="shared" si="148"/>
        <v/>
      </c>
      <c r="NA35" s="4" t="str">
        <f t="shared" si="149"/>
        <v/>
      </c>
      <c r="NB35" s="4" t="str">
        <f t="shared" si="150"/>
        <v/>
      </c>
      <c r="NC35" s="4" t="str">
        <f t="shared" si="151"/>
        <v/>
      </c>
      <c r="ND35" s="4" t="str">
        <f t="shared" si="152"/>
        <v/>
      </c>
      <c r="NE35" s="4" t="str">
        <f t="shared" si="153"/>
        <v/>
      </c>
      <c r="NF35" s="4" t="str">
        <f t="shared" si="154"/>
        <v/>
      </c>
      <c r="NG35" s="4" t="str">
        <f t="shared" si="155"/>
        <v/>
      </c>
      <c r="NH35" s="4" t="str">
        <f t="shared" si="156"/>
        <v/>
      </c>
      <c r="NI35" s="4" t="str">
        <f t="shared" si="157"/>
        <v/>
      </c>
      <c r="NJ35" s="4" t="str">
        <f t="shared" si="158"/>
        <v/>
      </c>
      <c r="NK35" s="4" t="str">
        <f t="shared" si="159"/>
        <v/>
      </c>
      <c r="NL35" s="4" t="str">
        <f t="shared" si="160"/>
        <v/>
      </c>
      <c r="NM35" s="4" t="str">
        <f t="shared" si="161"/>
        <v/>
      </c>
      <c r="NN35" s="4" t="str">
        <f t="shared" si="162"/>
        <v/>
      </c>
      <c r="NO35" s="4" t="str">
        <f t="shared" si="163"/>
        <v/>
      </c>
      <c r="NP35" s="4" t="str">
        <f t="shared" si="164"/>
        <v/>
      </c>
      <c r="NQ35" s="4" t="str">
        <f t="shared" si="165"/>
        <v/>
      </c>
      <c r="NR35" s="4" t="str">
        <f t="shared" si="166"/>
        <v/>
      </c>
      <c r="NS35" s="4" t="str">
        <f t="shared" si="167"/>
        <v/>
      </c>
      <c r="NT35" s="4" t="str">
        <f t="shared" si="168"/>
        <v/>
      </c>
      <c r="NU35" s="4" t="str">
        <f t="shared" si="169"/>
        <v/>
      </c>
      <c r="NV35" s="4" t="str">
        <f t="shared" si="170"/>
        <v/>
      </c>
      <c r="NW35" s="4" t="str">
        <f t="shared" si="171"/>
        <v/>
      </c>
      <c r="NX35" s="4" t="str">
        <f t="shared" si="172"/>
        <v/>
      </c>
      <c r="NY35" s="4" t="str">
        <f t="shared" si="173"/>
        <v/>
      </c>
      <c r="NZ35" s="4" t="str">
        <f t="shared" si="174"/>
        <v/>
      </c>
      <c r="OA35" s="4" t="str">
        <f t="shared" si="175"/>
        <v/>
      </c>
      <c r="OB35" s="4" t="str">
        <f t="shared" si="176"/>
        <v/>
      </c>
      <c r="OC35" s="4" t="str">
        <f t="shared" si="177"/>
        <v/>
      </c>
      <c r="OD35" s="4" t="str">
        <f t="shared" si="178"/>
        <v/>
      </c>
      <c r="OE35" s="4" t="str">
        <f t="shared" si="179"/>
        <v/>
      </c>
      <c r="OF35" s="4" t="str">
        <f t="shared" si="180"/>
        <v/>
      </c>
      <c r="OG35" s="4" t="str">
        <f t="shared" si="181"/>
        <v/>
      </c>
      <c r="OH35" s="4" t="str">
        <f t="shared" si="182"/>
        <v/>
      </c>
      <c r="OI35" s="4" t="str">
        <f t="shared" si="183"/>
        <v/>
      </c>
      <c r="OJ35" s="4" t="str">
        <f t="shared" si="184"/>
        <v/>
      </c>
      <c r="OK35" s="4" t="str">
        <f t="shared" si="185"/>
        <v/>
      </c>
      <c r="OL35" s="4" t="str">
        <f t="shared" si="186"/>
        <v/>
      </c>
      <c r="OM35" s="4" t="str">
        <f t="shared" si="187"/>
        <v/>
      </c>
      <c r="ON35" s="4" t="str">
        <f t="shared" si="188"/>
        <v/>
      </c>
      <c r="OO35" s="4" t="str">
        <f t="shared" si="189"/>
        <v/>
      </c>
      <c r="OP35" s="4" t="str">
        <f t="shared" si="190"/>
        <v/>
      </c>
      <c r="OQ35" s="4" t="str">
        <f t="shared" si="191"/>
        <v/>
      </c>
      <c r="OR35" s="4" t="str">
        <f t="shared" si="192"/>
        <v/>
      </c>
      <c r="OS35" s="4" t="str">
        <f t="shared" si="193"/>
        <v/>
      </c>
      <c r="OT35" s="4" t="str">
        <f t="shared" si="194"/>
        <v/>
      </c>
      <c r="OU35" s="4" t="str">
        <f t="shared" si="195"/>
        <v/>
      </c>
      <c r="OV35" s="4" t="str">
        <f t="shared" si="196"/>
        <v/>
      </c>
      <c r="OW35" s="4" t="str">
        <f t="shared" si="197"/>
        <v/>
      </c>
      <c r="OX35" s="4" t="str">
        <f t="shared" si="198"/>
        <v/>
      </c>
      <c r="OY35" s="4" t="str">
        <f t="shared" si="199"/>
        <v/>
      </c>
      <c r="OZ35" s="4" t="str">
        <f t="shared" si="200"/>
        <v/>
      </c>
      <c r="PA35" s="4" t="str">
        <f t="shared" si="201"/>
        <v/>
      </c>
      <c r="PB35" s="4" t="str">
        <f t="shared" si="202"/>
        <v/>
      </c>
      <c r="PC35" s="4" t="str">
        <f t="shared" si="203"/>
        <v/>
      </c>
      <c r="PD35" s="4" t="str">
        <f t="shared" si="204"/>
        <v/>
      </c>
      <c r="PE35" s="4" t="str">
        <f t="shared" si="205"/>
        <v/>
      </c>
      <c r="PF35" s="4" t="str">
        <f t="shared" si="206"/>
        <v/>
      </c>
      <c r="PG35" s="4" t="str">
        <f t="shared" si="207"/>
        <v/>
      </c>
      <c r="PH35" s="4" t="str">
        <f t="shared" si="208"/>
        <v/>
      </c>
      <c r="PI35" s="4" t="str">
        <f t="shared" si="209"/>
        <v/>
      </c>
      <c r="PJ35" s="4" t="str">
        <f t="shared" si="210"/>
        <v/>
      </c>
      <c r="PK35" s="4" t="str">
        <f t="shared" si="211"/>
        <v/>
      </c>
      <c r="PL35" s="4" t="str">
        <f t="shared" si="212"/>
        <v/>
      </c>
      <c r="PM35" s="4" t="str">
        <f t="shared" si="213"/>
        <v/>
      </c>
      <c r="PN35" s="4" t="str">
        <f t="shared" si="214"/>
        <v/>
      </c>
      <c r="PO35" s="4" t="str">
        <f t="shared" si="215"/>
        <v/>
      </c>
      <c r="PP35" s="4" t="str">
        <f t="shared" si="216"/>
        <v/>
      </c>
      <c r="PQ35" s="4" t="str">
        <f t="shared" si="217"/>
        <v/>
      </c>
      <c r="PR35" s="4" t="str">
        <f t="shared" si="218"/>
        <v/>
      </c>
      <c r="PS35" s="4" t="str">
        <f t="shared" si="219"/>
        <v/>
      </c>
    </row>
    <row r="36">
      <c r="HI36" s="4" t="str">
        <f t="shared" si="2"/>
        <v/>
      </c>
      <c r="HJ36" s="4" t="str">
        <f t="shared" si="3"/>
        <v/>
      </c>
      <c r="HK36" s="4" t="str">
        <f t="shared" si="4"/>
        <v/>
      </c>
      <c r="HL36" s="4" t="str">
        <f t="shared" si="5"/>
        <v/>
      </c>
      <c r="HM36" s="4" t="str">
        <f t="shared" si="6"/>
        <v/>
      </c>
      <c r="HN36" s="4" t="str">
        <f t="shared" si="7"/>
        <v/>
      </c>
      <c r="HO36" s="4" t="str">
        <f t="shared" si="8"/>
        <v/>
      </c>
      <c r="HP36" s="4" t="str">
        <f t="shared" si="9"/>
        <v/>
      </c>
      <c r="HQ36" s="4" t="str">
        <f t="shared" si="10"/>
        <v/>
      </c>
      <c r="HR36" s="4" t="str">
        <f t="shared" si="11"/>
        <v/>
      </c>
      <c r="HS36" s="4" t="str">
        <f t="shared" si="12"/>
        <v/>
      </c>
      <c r="HT36" s="4" t="str">
        <f t="shared" si="13"/>
        <v/>
      </c>
      <c r="HU36" s="4" t="str">
        <f t="shared" si="14"/>
        <v/>
      </c>
      <c r="HV36" s="4" t="str">
        <f t="shared" si="15"/>
        <v/>
      </c>
      <c r="HW36" s="4" t="str">
        <f t="shared" si="16"/>
        <v/>
      </c>
      <c r="HX36" s="4" t="str">
        <f t="shared" si="17"/>
        <v/>
      </c>
      <c r="HY36" s="4" t="str">
        <f t="shared" si="18"/>
        <v/>
      </c>
      <c r="HZ36" s="4" t="str">
        <f t="shared" si="19"/>
        <v/>
      </c>
      <c r="IA36" s="4" t="str">
        <f t="shared" si="20"/>
        <v/>
      </c>
      <c r="IB36" s="4" t="str">
        <f t="shared" si="21"/>
        <v/>
      </c>
      <c r="IC36" s="4" t="str">
        <f t="shared" si="22"/>
        <v/>
      </c>
      <c r="ID36" s="4" t="str">
        <f t="shared" si="23"/>
        <v/>
      </c>
      <c r="IE36" s="4" t="str">
        <f t="shared" si="24"/>
        <v/>
      </c>
      <c r="IF36" s="4" t="str">
        <f t="shared" si="25"/>
        <v/>
      </c>
      <c r="IG36" s="4" t="str">
        <f t="shared" si="26"/>
        <v/>
      </c>
      <c r="IH36" s="4" t="str">
        <f t="shared" si="27"/>
        <v/>
      </c>
      <c r="II36" s="4" t="str">
        <f t="shared" si="28"/>
        <v/>
      </c>
      <c r="IJ36" s="4" t="str">
        <f t="shared" si="29"/>
        <v/>
      </c>
      <c r="IK36" s="4" t="str">
        <f t="shared" si="30"/>
        <v/>
      </c>
      <c r="IL36" s="4" t="str">
        <f t="shared" si="31"/>
        <v/>
      </c>
      <c r="IM36" s="4" t="str">
        <f t="shared" si="32"/>
        <v/>
      </c>
      <c r="IN36" s="4" t="str">
        <f t="shared" si="33"/>
        <v/>
      </c>
      <c r="IO36" s="4" t="str">
        <f t="shared" si="34"/>
        <v/>
      </c>
      <c r="IP36" s="4" t="str">
        <f t="shared" si="35"/>
        <v/>
      </c>
      <c r="IQ36" s="4" t="str">
        <f t="shared" si="36"/>
        <v/>
      </c>
      <c r="IR36" s="4" t="str">
        <f t="shared" si="37"/>
        <v/>
      </c>
      <c r="IS36" s="4" t="str">
        <f t="shared" si="38"/>
        <v/>
      </c>
      <c r="IT36" s="4" t="str">
        <f t="shared" si="39"/>
        <v/>
      </c>
      <c r="IU36" s="4" t="str">
        <f t="shared" si="40"/>
        <v/>
      </c>
      <c r="IV36" s="4" t="str">
        <f t="shared" si="41"/>
        <v/>
      </c>
      <c r="IW36" s="4" t="str">
        <f t="shared" si="42"/>
        <v/>
      </c>
      <c r="IX36" s="4" t="str">
        <f t="shared" si="43"/>
        <v/>
      </c>
      <c r="IY36" s="4" t="str">
        <f t="shared" si="44"/>
        <v/>
      </c>
      <c r="IZ36" s="4" t="str">
        <f t="shared" si="45"/>
        <v/>
      </c>
      <c r="JA36" s="4" t="str">
        <f t="shared" ref="JA36:JB36" si="252">if(ISERROR(SEARCH("Higher Education",BB36)),"","810")</f>
        <v/>
      </c>
      <c r="JB36" s="4" t="str">
        <f t="shared" si="252"/>
        <v/>
      </c>
      <c r="JC36" s="4" t="str">
        <f t="shared" si="47"/>
        <v/>
      </c>
      <c r="JD36" s="4" t="str">
        <f t="shared" si="48"/>
        <v/>
      </c>
      <c r="JE36" s="4" t="str">
        <f t="shared" si="49"/>
        <v/>
      </c>
      <c r="JF36" s="4" t="str">
        <f t="shared" si="50"/>
        <v/>
      </c>
      <c r="JG36" s="4" t="str">
        <f t="shared" si="51"/>
        <v/>
      </c>
      <c r="JH36" s="4" t="str">
        <f t="shared" si="52"/>
        <v/>
      </c>
      <c r="JI36" s="4" t="str">
        <f t="shared" si="53"/>
        <v/>
      </c>
      <c r="JJ36" s="4" t="str">
        <f t="shared" si="54"/>
        <v/>
      </c>
      <c r="JK36" s="4" t="str">
        <f t="shared" si="55"/>
        <v/>
      </c>
      <c r="JL36" s="4" t="str">
        <f t="shared" si="56"/>
        <v/>
      </c>
      <c r="JM36" s="4" t="str">
        <f t="shared" si="57"/>
        <v/>
      </c>
      <c r="JN36" s="4" t="str">
        <f t="shared" si="58"/>
        <v/>
      </c>
      <c r="JO36" s="4" t="str">
        <f t="shared" si="59"/>
        <v/>
      </c>
      <c r="JP36" s="4" t="str">
        <f t="shared" si="60"/>
        <v/>
      </c>
      <c r="JQ36" s="4" t="str">
        <f t="shared" si="61"/>
        <v/>
      </c>
      <c r="JR36" s="4" t="str">
        <f t="shared" si="62"/>
        <v/>
      </c>
      <c r="JS36" s="4" t="str">
        <f t="shared" si="63"/>
        <v/>
      </c>
      <c r="JT36" s="4" t="str">
        <f t="shared" si="64"/>
        <v/>
      </c>
      <c r="JU36" s="4" t="str">
        <f t="shared" si="65"/>
        <v/>
      </c>
      <c r="JV36" s="4" t="str">
        <f t="shared" si="66"/>
        <v/>
      </c>
      <c r="JW36" s="4" t="str">
        <f t="shared" si="67"/>
        <v/>
      </c>
      <c r="JX36" s="4" t="str">
        <f t="shared" si="68"/>
        <v/>
      </c>
      <c r="JY36" s="4" t="str">
        <f t="shared" si="69"/>
        <v/>
      </c>
      <c r="JZ36" s="4" t="str">
        <f t="shared" si="70"/>
        <v/>
      </c>
      <c r="KA36" s="4" t="str">
        <f t="shared" si="71"/>
        <v/>
      </c>
      <c r="KB36" s="4" t="str">
        <f t="shared" si="72"/>
        <v/>
      </c>
      <c r="KC36" s="4" t="str">
        <f t="shared" si="73"/>
        <v/>
      </c>
      <c r="KD36" s="4" t="str">
        <f t="shared" si="74"/>
        <v/>
      </c>
      <c r="KE36" s="4" t="str">
        <f t="shared" si="75"/>
        <v/>
      </c>
      <c r="KF36" s="4" t="str">
        <f t="shared" si="76"/>
        <v/>
      </c>
      <c r="KG36" s="4" t="str">
        <f t="shared" si="77"/>
        <v/>
      </c>
      <c r="KH36" s="4" t="str">
        <f t="shared" si="78"/>
        <v/>
      </c>
      <c r="KI36" s="4" t="str">
        <f t="shared" si="79"/>
        <v/>
      </c>
      <c r="KJ36" s="4" t="str">
        <f t="shared" si="80"/>
        <v/>
      </c>
      <c r="KK36" s="4" t="str">
        <f t="shared" si="81"/>
        <v/>
      </c>
      <c r="KL36" s="4" t="str">
        <f t="shared" si="82"/>
        <v/>
      </c>
      <c r="KM36" s="4" t="str">
        <f t="shared" si="83"/>
        <v/>
      </c>
      <c r="KN36" s="4" t="str">
        <f t="shared" si="84"/>
        <v/>
      </c>
      <c r="KO36" s="4" t="str">
        <f t="shared" si="85"/>
        <v/>
      </c>
      <c r="KP36" s="4" t="str">
        <f t="shared" si="86"/>
        <v/>
      </c>
      <c r="KQ36" s="4" t="str">
        <f t="shared" si="87"/>
        <v/>
      </c>
      <c r="KR36" s="4" t="str">
        <f t="shared" si="88"/>
        <v/>
      </c>
      <c r="KS36" s="4" t="str">
        <f t="shared" si="89"/>
        <v/>
      </c>
      <c r="KT36" s="4" t="str">
        <f t="shared" si="90"/>
        <v/>
      </c>
      <c r="KU36" s="4" t="str">
        <f t="shared" si="91"/>
        <v/>
      </c>
      <c r="KV36" s="4" t="str">
        <f t="shared" si="92"/>
        <v/>
      </c>
      <c r="KW36" s="4" t="str">
        <f t="shared" si="93"/>
        <v/>
      </c>
      <c r="KX36" s="4" t="str">
        <f t="shared" si="94"/>
        <v/>
      </c>
      <c r="KY36" s="4" t="str">
        <f t="shared" si="95"/>
        <v/>
      </c>
      <c r="KZ36" s="4" t="str">
        <f t="shared" si="96"/>
        <v/>
      </c>
      <c r="LA36" s="4" t="str">
        <f t="shared" si="97"/>
        <v/>
      </c>
      <c r="LB36" s="4" t="str">
        <f t="shared" si="98"/>
        <v/>
      </c>
      <c r="LC36" s="4" t="str">
        <f t="shared" si="99"/>
        <v/>
      </c>
      <c r="LD36" s="4" t="str">
        <f t="shared" si="100"/>
        <v/>
      </c>
      <c r="LE36" s="4" t="str">
        <f t="shared" si="101"/>
        <v/>
      </c>
      <c r="LF36" s="4" t="str">
        <f t="shared" si="102"/>
        <v/>
      </c>
      <c r="LG36" s="4" t="str">
        <f t="shared" si="103"/>
        <v/>
      </c>
      <c r="LH36" s="4" t="str">
        <f t="shared" si="104"/>
        <v/>
      </c>
      <c r="LI36" s="4" t="str">
        <f t="shared" si="105"/>
        <v/>
      </c>
      <c r="LJ36" s="4" t="str">
        <f t="shared" si="106"/>
        <v/>
      </c>
      <c r="LK36" s="4" t="str">
        <f t="shared" si="107"/>
        <v/>
      </c>
      <c r="LL36" s="4" t="str">
        <f t="shared" si="108"/>
        <v/>
      </c>
      <c r="LM36" s="4" t="str">
        <f t="shared" si="109"/>
        <v/>
      </c>
      <c r="LN36" s="4" t="str">
        <f t="shared" si="110"/>
        <v/>
      </c>
      <c r="LO36" s="4" t="str">
        <f t="shared" si="111"/>
        <v/>
      </c>
      <c r="LP36" s="4" t="str">
        <f t="shared" si="112"/>
        <v/>
      </c>
      <c r="LQ36" s="4" t="str">
        <f t="shared" si="113"/>
        <v/>
      </c>
      <c r="LR36" s="4" t="str">
        <f t="shared" si="114"/>
        <v/>
      </c>
      <c r="LS36" s="4" t="str">
        <f t="shared" si="115"/>
        <v/>
      </c>
      <c r="LT36" s="4" t="str">
        <f t="shared" si="116"/>
        <v/>
      </c>
      <c r="LU36" s="4" t="str">
        <f t="shared" si="117"/>
        <v/>
      </c>
      <c r="LV36" s="4" t="str">
        <f t="shared" si="118"/>
        <v/>
      </c>
      <c r="LW36" s="4" t="str">
        <f t="shared" si="119"/>
        <v/>
      </c>
      <c r="LX36" s="4" t="str">
        <f t="shared" si="120"/>
        <v/>
      </c>
      <c r="LY36" s="4" t="str">
        <f t="shared" si="121"/>
        <v/>
      </c>
      <c r="LZ36" s="4" t="str">
        <f t="shared" si="122"/>
        <v/>
      </c>
      <c r="MA36" s="4" t="str">
        <f t="shared" si="123"/>
        <v/>
      </c>
      <c r="MB36" s="4" t="str">
        <f t="shared" si="124"/>
        <v/>
      </c>
      <c r="MC36" s="4" t="str">
        <f t="shared" si="125"/>
        <v/>
      </c>
      <c r="MD36" s="4" t="str">
        <f t="shared" si="126"/>
        <v/>
      </c>
      <c r="ME36" s="4" t="str">
        <f t="shared" si="127"/>
        <v/>
      </c>
      <c r="MF36" s="4" t="str">
        <f t="shared" si="128"/>
        <v/>
      </c>
      <c r="MG36" s="4" t="str">
        <f t="shared" si="129"/>
        <v/>
      </c>
      <c r="MH36" s="4" t="str">
        <f t="shared" si="130"/>
        <v/>
      </c>
      <c r="MI36" s="4" t="str">
        <f t="shared" si="131"/>
        <v/>
      </c>
      <c r="MJ36" s="4" t="str">
        <f t="shared" si="132"/>
        <v/>
      </c>
      <c r="MK36" s="4" t="str">
        <f t="shared" si="133"/>
        <v/>
      </c>
      <c r="ML36" s="4" t="str">
        <f t="shared" si="134"/>
        <v/>
      </c>
      <c r="MM36" s="4" t="str">
        <f t="shared" si="135"/>
        <v/>
      </c>
      <c r="MN36" s="4" t="str">
        <f t="shared" si="136"/>
        <v/>
      </c>
      <c r="MO36" s="4" t="str">
        <f t="shared" si="137"/>
        <v/>
      </c>
      <c r="MP36" s="4" t="str">
        <f t="shared" si="138"/>
        <v/>
      </c>
      <c r="MQ36" s="4" t="str">
        <f t="shared" si="139"/>
        <v/>
      </c>
      <c r="MR36" s="4" t="str">
        <f t="shared" si="140"/>
        <v/>
      </c>
      <c r="MS36" s="4" t="str">
        <f t="shared" si="141"/>
        <v/>
      </c>
      <c r="MT36" s="4" t="str">
        <f t="shared" si="142"/>
        <v/>
      </c>
      <c r="MU36" s="4" t="str">
        <f t="shared" si="143"/>
        <v/>
      </c>
      <c r="MV36" s="4" t="str">
        <f t="shared" si="144"/>
        <v/>
      </c>
      <c r="MW36" s="4" t="str">
        <f t="shared" si="145"/>
        <v/>
      </c>
      <c r="MX36" s="4" t="str">
        <f t="shared" si="146"/>
        <v/>
      </c>
      <c r="MY36" s="4" t="str">
        <f t="shared" si="147"/>
        <v/>
      </c>
      <c r="MZ36" s="4" t="str">
        <f t="shared" si="148"/>
        <v/>
      </c>
      <c r="NA36" s="4" t="str">
        <f t="shared" si="149"/>
        <v/>
      </c>
      <c r="NB36" s="4" t="str">
        <f t="shared" si="150"/>
        <v/>
      </c>
      <c r="NC36" s="4" t="str">
        <f t="shared" si="151"/>
        <v/>
      </c>
      <c r="ND36" s="4" t="str">
        <f t="shared" si="152"/>
        <v/>
      </c>
      <c r="NE36" s="4" t="str">
        <f t="shared" si="153"/>
        <v/>
      </c>
      <c r="NF36" s="4" t="str">
        <f t="shared" si="154"/>
        <v/>
      </c>
      <c r="NG36" s="4" t="str">
        <f t="shared" si="155"/>
        <v/>
      </c>
      <c r="NH36" s="4" t="str">
        <f t="shared" si="156"/>
        <v/>
      </c>
      <c r="NI36" s="4" t="str">
        <f t="shared" si="157"/>
        <v/>
      </c>
      <c r="NJ36" s="4" t="str">
        <f t="shared" si="158"/>
        <v/>
      </c>
      <c r="NK36" s="4" t="str">
        <f t="shared" si="159"/>
        <v/>
      </c>
      <c r="NL36" s="4" t="str">
        <f t="shared" si="160"/>
        <v/>
      </c>
      <c r="NM36" s="4" t="str">
        <f t="shared" si="161"/>
        <v/>
      </c>
      <c r="NN36" s="4" t="str">
        <f t="shared" si="162"/>
        <v/>
      </c>
      <c r="NO36" s="4" t="str">
        <f t="shared" si="163"/>
        <v/>
      </c>
      <c r="NP36" s="4" t="str">
        <f t="shared" si="164"/>
        <v/>
      </c>
      <c r="NQ36" s="4" t="str">
        <f t="shared" si="165"/>
        <v/>
      </c>
      <c r="NR36" s="4" t="str">
        <f t="shared" si="166"/>
        <v/>
      </c>
      <c r="NS36" s="4" t="str">
        <f t="shared" si="167"/>
        <v/>
      </c>
      <c r="NT36" s="4" t="str">
        <f t="shared" si="168"/>
        <v/>
      </c>
      <c r="NU36" s="4" t="str">
        <f t="shared" si="169"/>
        <v/>
      </c>
      <c r="NV36" s="4" t="str">
        <f t="shared" si="170"/>
        <v/>
      </c>
      <c r="NW36" s="4" t="str">
        <f t="shared" si="171"/>
        <v/>
      </c>
      <c r="NX36" s="4" t="str">
        <f t="shared" si="172"/>
        <v/>
      </c>
      <c r="NY36" s="4" t="str">
        <f t="shared" si="173"/>
        <v/>
      </c>
      <c r="NZ36" s="4" t="str">
        <f t="shared" si="174"/>
        <v/>
      </c>
      <c r="OA36" s="4" t="str">
        <f t="shared" si="175"/>
        <v/>
      </c>
      <c r="OB36" s="4" t="str">
        <f t="shared" si="176"/>
        <v/>
      </c>
      <c r="OC36" s="4" t="str">
        <f t="shared" si="177"/>
        <v/>
      </c>
      <c r="OD36" s="4" t="str">
        <f t="shared" si="178"/>
        <v/>
      </c>
      <c r="OE36" s="4" t="str">
        <f t="shared" si="179"/>
        <v/>
      </c>
      <c r="OF36" s="4" t="str">
        <f t="shared" si="180"/>
        <v/>
      </c>
      <c r="OG36" s="4" t="str">
        <f t="shared" si="181"/>
        <v/>
      </c>
      <c r="OH36" s="4" t="str">
        <f t="shared" si="182"/>
        <v/>
      </c>
      <c r="OI36" s="4" t="str">
        <f t="shared" si="183"/>
        <v/>
      </c>
      <c r="OJ36" s="4" t="str">
        <f t="shared" si="184"/>
        <v/>
      </c>
      <c r="OK36" s="4" t="str">
        <f t="shared" si="185"/>
        <v/>
      </c>
      <c r="OL36" s="4" t="str">
        <f t="shared" si="186"/>
        <v/>
      </c>
      <c r="OM36" s="4" t="str">
        <f t="shared" si="187"/>
        <v/>
      </c>
      <c r="ON36" s="4" t="str">
        <f t="shared" si="188"/>
        <v/>
      </c>
      <c r="OO36" s="4" t="str">
        <f t="shared" si="189"/>
        <v/>
      </c>
      <c r="OP36" s="4" t="str">
        <f t="shared" si="190"/>
        <v/>
      </c>
      <c r="OQ36" s="4" t="str">
        <f t="shared" si="191"/>
        <v/>
      </c>
      <c r="OR36" s="4" t="str">
        <f t="shared" si="192"/>
        <v/>
      </c>
      <c r="OS36" s="4" t="str">
        <f t="shared" si="193"/>
        <v/>
      </c>
      <c r="OT36" s="4" t="str">
        <f t="shared" si="194"/>
        <v/>
      </c>
      <c r="OU36" s="4" t="str">
        <f t="shared" si="195"/>
        <v/>
      </c>
      <c r="OV36" s="4" t="str">
        <f t="shared" si="196"/>
        <v/>
      </c>
      <c r="OW36" s="4" t="str">
        <f t="shared" si="197"/>
        <v/>
      </c>
      <c r="OX36" s="4" t="str">
        <f t="shared" si="198"/>
        <v/>
      </c>
      <c r="OY36" s="4" t="str">
        <f t="shared" si="199"/>
        <v/>
      </c>
      <c r="OZ36" s="4" t="str">
        <f t="shared" si="200"/>
        <v/>
      </c>
      <c r="PA36" s="4" t="str">
        <f t="shared" si="201"/>
        <v/>
      </c>
      <c r="PB36" s="4" t="str">
        <f t="shared" si="202"/>
        <v/>
      </c>
      <c r="PC36" s="4" t="str">
        <f t="shared" si="203"/>
        <v/>
      </c>
      <c r="PD36" s="4" t="str">
        <f t="shared" si="204"/>
        <v/>
      </c>
      <c r="PE36" s="4" t="str">
        <f t="shared" si="205"/>
        <v/>
      </c>
      <c r="PF36" s="4" t="str">
        <f t="shared" si="206"/>
        <v/>
      </c>
      <c r="PG36" s="4" t="str">
        <f t="shared" si="207"/>
        <v/>
      </c>
      <c r="PH36" s="4" t="str">
        <f t="shared" si="208"/>
        <v/>
      </c>
      <c r="PI36" s="4" t="str">
        <f t="shared" si="209"/>
        <v/>
      </c>
      <c r="PJ36" s="4" t="str">
        <f t="shared" si="210"/>
        <v/>
      </c>
      <c r="PK36" s="4" t="str">
        <f t="shared" si="211"/>
        <v/>
      </c>
      <c r="PL36" s="4" t="str">
        <f t="shared" si="212"/>
        <v/>
      </c>
      <c r="PM36" s="4" t="str">
        <f t="shared" si="213"/>
        <v/>
      </c>
      <c r="PN36" s="4" t="str">
        <f t="shared" si="214"/>
        <v/>
      </c>
      <c r="PO36" s="4" t="str">
        <f t="shared" si="215"/>
        <v/>
      </c>
      <c r="PP36" s="4" t="str">
        <f t="shared" si="216"/>
        <v/>
      </c>
      <c r="PQ36" s="4" t="str">
        <f t="shared" si="217"/>
        <v/>
      </c>
      <c r="PR36" s="4" t="str">
        <f t="shared" si="218"/>
        <v/>
      </c>
      <c r="PS36" s="4" t="str">
        <f t="shared" si="219"/>
        <v/>
      </c>
    </row>
    <row r="37">
      <c r="HI37" s="4" t="str">
        <f t="shared" si="2"/>
        <v/>
      </c>
      <c r="HJ37" s="4" t="str">
        <f t="shared" si="3"/>
        <v/>
      </c>
      <c r="HK37" s="4" t="str">
        <f t="shared" si="4"/>
        <v/>
      </c>
      <c r="HL37" s="4" t="str">
        <f t="shared" si="5"/>
        <v/>
      </c>
      <c r="HM37" s="4" t="str">
        <f t="shared" si="6"/>
        <v/>
      </c>
      <c r="HN37" s="4" t="str">
        <f t="shared" si="7"/>
        <v/>
      </c>
      <c r="HO37" s="4" t="str">
        <f t="shared" si="8"/>
        <v/>
      </c>
      <c r="HP37" s="4" t="str">
        <f t="shared" si="9"/>
        <v/>
      </c>
      <c r="HQ37" s="4" t="str">
        <f t="shared" si="10"/>
        <v/>
      </c>
      <c r="HR37" s="4" t="str">
        <f t="shared" si="11"/>
        <v/>
      </c>
      <c r="HS37" s="4" t="str">
        <f t="shared" si="12"/>
        <v/>
      </c>
      <c r="HT37" s="4" t="str">
        <f t="shared" si="13"/>
        <v/>
      </c>
      <c r="HU37" s="4" t="str">
        <f t="shared" si="14"/>
        <v/>
      </c>
      <c r="HV37" s="4" t="str">
        <f t="shared" si="15"/>
        <v/>
      </c>
      <c r="HW37" s="4" t="str">
        <f t="shared" si="16"/>
        <v/>
      </c>
      <c r="HX37" s="4" t="str">
        <f t="shared" si="17"/>
        <v/>
      </c>
      <c r="HY37" s="4" t="str">
        <f t="shared" si="18"/>
        <v/>
      </c>
      <c r="HZ37" s="4" t="str">
        <f t="shared" si="19"/>
        <v/>
      </c>
      <c r="IA37" s="4" t="str">
        <f t="shared" si="20"/>
        <v/>
      </c>
      <c r="IB37" s="4" t="str">
        <f t="shared" si="21"/>
        <v/>
      </c>
      <c r="IC37" s="4" t="str">
        <f t="shared" si="22"/>
        <v/>
      </c>
      <c r="ID37" s="4" t="str">
        <f t="shared" si="23"/>
        <v/>
      </c>
      <c r="IE37" s="4" t="str">
        <f t="shared" si="24"/>
        <v/>
      </c>
      <c r="IF37" s="4" t="str">
        <f t="shared" si="25"/>
        <v/>
      </c>
      <c r="IG37" s="4" t="str">
        <f t="shared" si="26"/>
        <v/>
      </c>
      <c r="IH37" s="4" t="str">
        <f t="shared" si="27"/>
        <v/>
      </c>
      <c r="II37" s="4" t="str">
        <f t="shared" si="28"/>
        <v/>
      </c>
      <c r="IJ37" s="4" t="str">
        <f t="shared" si="29"/>
        <v/>
      </c>
      <c r="IK37" s="4" t="str">
        <f t="shared" si="30"/>
        <v/>
      </c>
      <c r="IL37" s="4" t="str">
        <f t="shared" si="31"/>
        <v/>
      </c>
      <c r="IM37" s="4" t="str">
        <f t="shared" si="32"/>
        <v/>
      </c>
      <c r="IN37" s="4" t="str">
        <f t="shared" si="33"/>
        <v/>
      </c>
      <c r="IO37" s="4" t="str">
        <f t="shared" si="34"/>
        <v/>
      </c>
      <c r="IP37" s="4" t="str">
        <f t="shared" si="35"/>
        <v/>
      </c>
      <c r="IQ37" s="4" t="str">
        <f t="shared" si="36"/>
        <v/>
      </c>
      <c r="IR37" s="4" t="str">
        <f t="shared" si="37"/>
        <v/>
      </c>
      <c r="IS37" s="4" t="str">
        <f t="shared" si="38"/>
        <v/>
      </c>
      <c r="IT37" s="4" t="str">
        <f t="shared" si="39"/>
        <v/>
      </c>
      <c r="IU37" s="4" t="str">
        <f t="shared" si="40"/>
        <v/>
      </c>
      <c r="IV37" s="4" t="str">
        <f t="shared" si="41"/>
        <v/>
      </c>
      <c r="IW37" s="4" t="str">
        <f t="shared" si="42"/>
        <v/>
      </c>
      <c r="IX37" s="4" t="str">
        <f t="shared" si="43"/>
        <v/>
      </c>
      <c r="IY37" s="4" t="str">
        <f t="shared" si="44"/>
        <v/>
      </c>
      <c r="IZ37" s="4" t="str">
        <f t="shared" si="45"/>
        <v/>
      </c>
      <c r="JA37" s="4" t="str">
        <f t="shared" ref="JA37:JB37" si="253">if(ISERROR(SEARCH("Higher Education",BB37)),"","810")</f>
        <v/>
      </c>
      <c r="JB37" s="4" t="str">
        <f t="shared" si="253"/>
        <v/>
      </c>
      <c r="JC37" s="4" t="str">
        <f t="shared" si="47"/>
        <v/>
      </c>
      <c r="JD37" s="4" t="str">
        <f t="shared" si="48"/>
        <v/>
      </c>
      <c r="JE37" s="4" t="str">
        <f t="shared" si="49"/>
        <v/>
      </c>
      <c r="JF37" s="4" t="str">
        <f t="shared" si="50"/>
        <v/>
      </c>
      <c r="JG37" s="4" t="str">
        <f t="shared" si="51"/>
        <v/>
      </c>
      <c r="JH37" s="4" t="str">
        <f t="shared" si="52"/>
        <v/>
      </c>
      <c r="JI37" s="4" t="str">
        <f t="shared" si="53"/>
        <v/>
      </c>
      <c r="JJ37" s="4" t="str">
        <f t="shared" si="54"/>
        <v/>
      </c>
      <c r="JK37" s="4" t="str">
        <f t="shared" si="55"/>
        <v/>
      </c>
      <c r="JL37" s="4" t="str">
        <f t="shared" si="56"/>
        <v/>
      </c>
      <c r="JM37" s="4" t="str">
        <f t="shared" si="57"/>
        <v/>
      </c>
      <c r="JN37" s="4" t="str">
        <f t="shared" si="58"/>
        <v/>
      </c>
      <c r="JO37" s="4" t="str">
        <f t="shared" si="59"/>
        <v/>
      </c>
      <c r="JP37" s="4" t="str">
        <f t="shared" si="60"/>
        <v/>
      </c>
      <c r="JQ37" s="4" t="str">
        <f t="shared" si="61"/>
        <v/>
      </c>
      <c r="JR37" s="4" t="str">
        <f t="shared" si="62"/>
        <v/>
      </c>
      <c r="JS37" s="4" t="str">
        <f t="shared" si="63"/>
        <v/>
      </c>
      <c r="JT37" s="4" t="str">
        <f t="shared" si="64"/>
        <v/>
      </c>
      <c r="JU37" s="4" t="str">
        <f t="shared" si="65"/>
        <v/>
      </c>
      <c r="JV37" s="4" t="str">
        <f t="shared" si="66"/>
        <v/>
      </c>
      <c r="JW37" s="4" t="str">
        <f t="shared" si="67"/>
        <v/>
      </c>
      <c r="JX37" s="4" t="str">
        <f t="shared" si="68"/>
        <v/>
      </c>
      <c r="JY37" s="4" t="str">
        <f t="shared" si="69"/>
        <v/>
      </c>
      <c r="JZ37" s="4" t="str">
        <f t="shared" si="70"/>
        <v/>
      </c>
      <c r="KA37" s="4" t="str">
        <f t="shared" si="71"/>
        <v/>
      </c>
      <c r="KB37" s="4" t="str">
        <f t="shared" si="72"/>
        <v/>
      </c>
      <c r="KC37" s="4" t="str">
        <f t="shared" si="73"/>
        <v/>
      </c>
      <c r="KD37" s="4" t="str">
        <f t="shared" si="74"/>
        <v/>
      </c>
      <c r="KE37" s="4" t="str">
        <f t="shared" si="75"/>
        <v/>
      </c>
      <c r="KF37" s="4" t="str">
        <f t="shared" si="76"/>
        <v/>
      </c>
      <c r="KG37" s="4" t="str">
        <f t="shared" si="77"/>
        <v/>
      </c>
      <c r="KH37" s="4" t="str">
        <f t="shared" si="78"/>
        <v/>
      </c>
      <c r="KI37" s="4" t="str">
        <f t="shared" si="79"/>
        <v/>
      </c>
      <c r="KJ37" s="4" t="str">
        <f t="shared" si="80"/>
        <v/>
      </c>
      <c r="KK37" s="4" t="str">
        <f t="shared" si="81"/>
        <v/>
      </c>
      <c r="KL37" s="4" t="str">
        <f t="shared" si="82"/>
        <v/>
      </c>
      <c r="KM37" s="4" t="str">
        <f t="shared" si="83"/>
        <v/>
      </c>
      <c r="KN37" s="4" t="str">
        <f t="shared" si="84"/>
        <v/>
      </c>
      <c r="KO37" s="4" t="str">
        <f t="shared" si="85"/>
        <v/>
      </c>
      <c r="KP37" s="4" t="str">
        <f t="shared" si="86"/>
        <v/>
      </c>
      <c r="KQ37" s="4" t="str">
        <f t="shared" si="87"/>
        <v/>
      </c>
      <c r="KR37" s="4" t="str">
        <f t="shared" si="88"/>
        <v/>
      </c>
      <c r="KS37" s="4" t="str">
        <f t="shared" si="89"/>
        <v/>
      </c>
      <c r="KT37" s="4" t="str">
        <f t="shared" si="90"/>
        <v/>
      </c>
      <c r="KU37" s="4" t="str">
        <f t="shared" si="91"/>
        <v/>
      </c>
      <c r="KV37" s="4" t="str">
        <f t="shared" si="92"/>
        <v/>
      </c>
      <c r="KW37" s="4" t="str">
        <f t="shared" si="93"/>
        <v/>
      </c>
      <c r="KX37" s="4" t="str">
        <f t="shared" si="94"/>
        <v/>
      </c>
      <c r="KY37" s="4" t="str">
        <f t="shared" si="95"/>
        <v/>
      </c>
      <c r="KZ37" s="4" t="str">
        <f t="shared" si="96"/>
        <v/>
      </c>
      <c r="LA37" s="4" t="str">
        <f t="shared" si="97"/>
        <v/>
      </c>
      <c r="LB37" s="4" t="str">
        <f t="shared" si="98"/>
        <v/>
      </c>
      <c r="LC37" s="4" t="str">
        <f t="shared" si="99"/>
        <v/>
      </c>
      <c r="LD37" s="4" t="str">
        <f t="shared" si="100"/>
        <v/>
      </c>
      <c r="LE37" s="4" t="str">
        <f t="shared" si="101"/>
        <v/>
      </c>
      <c r="LF37" s="4" t="str">
        <f t="shared" si="102"/>
        <v/>
      </c>
      <c r="LG37" s="4" t="str">
        <f t="shared" si="103"/>
        <v/>
      </c>
      <c r="LH37" s="4" t="str">
        <f t="shared" si="104"/>
        <v/>
      </c>
      <c r="LI37" s="4" t="str">
        <f t="shared" si="105"/>
        <v/>
      </c>
      <c r="LJ37" s="4" t="str">
        <f t="shared" si="106"/>
        <v/>
      </c>
      <c r="LK37" s="4" t="str">
        <f t="shared" si="107"/>
        <v/>
      </c>
      <c r="LL37" s="4" t="str">
        <f t="shared" si="108"/>
        <v/>
      </c>
      <c r="LM37" s="4" t="str">
        <f t="shared" si="109"/>
        <v/>
      </c>
      <c r="LN37" s="4" t="str">
        <f t="shared" si="110"/>
        <v/>
      </c>
      <c r="LO37" s="4" t="str">
        <f t="shared" si="111"/>
        <v/>
      </c>
      <c r="LP37" s="4" t="str">
        <f t="shared" si="112"/>
        <v/>
      </c>
      <c r="LQ37" s="4" t="str">
        <f t="shared" si="113"/>
        <v/>
      </c>
      <c r="LR37" s="4" t="str">
        <f t="shared" si="114"/>
        <v/>
      </c>
      <c r="LS37" s="4" t="str">
        <f t="shared" si="115"/>
        <v/>
      </c>
      <c r="LT37" s="4" t="str">
        <f t="shared" si="116"/>
        <v/>
      </c>
      <c r="LU37" s="4" t="str">
        <f t="shared" si="117"/>
        <v/>
      </c>
      <c r="LV37" s="4" t="str">
        <f t="shared" si="118"/>
        <v/>
      </c>
      <c r="LW37" s="4" t="str">
        <f t="shared" si="119"/>
        <v/>
      </c>
      <c r="LX37" s="4" t="str">
        <f t="shared" si="120"/>
        <v/>
      </c>
      <c r="LY37" s="4" t="str">
        <f t="shared" si="121"/>
        <v/>
      </c>
      <c r="LZ37" s="4" t="str">
        <f t="shared" si="122"/>
        <v/>
      </c>
      <c r="MA37" s="4" t="str">
        <f t="shared" si="123"/>
        <v/>
      </c>
      <c r="MB37" s="4" t="str">
        <f t="shared" si="124"/>
        <v/>
      </c>
      <c r="MC37" s="4" t="str">
        <f t="shared" si="125"/>
        <v/>
      </c>
      <c r="MD37" s="4" t="str">
        <f t="shared" si="126"/>
        <v/>
      </c>
      <c r="ME37" s="4" t="str">
        <f t="shared" si="127"/>
        <v/>
      </c>
      <c r="MF37" s="4" t="str">
        <f t="shared" si="128"/>
        <v/>
      </c>
      <c r="MG37" s="4" t="str">
        <f t="shared" si="129"/>
        <v/>
      </c>
      <c r="MH37" s="4" t="str">
        <f t="shared" si="130"/>
        <v/>
      </c>
      <c r="MI37" s="4" t="str">
        <f t="shared" si="131"/>
        <v/>
      </c>
      <c r="MJ37" s="4" t="str">
        <f t="shared" si="132"/>
        <v/>
      </c>
      <c r="MK37" s="4" t="str">
        <f t="shared" si="133"/>
        <v/>
      </c>
      <c r="ML37" s="4" t="str">
        <f t="shared" si="134"/>
        <v/>
      </c>
      <c r="MM37" s="4" t="str">
        <f t="shared" si="135"/>
        <v/>
      </c>
      <c r="MN37" s="4" t="str">
        <f t="shared" si="136"/>
        <v/>
      </c>
      <c r="MO37" s="4" t="str">
        <f t="shared" si="137"/>
        <v/>
      </c>
      <c r="MP37" s="4" t="str">
        <f t="shared" si="138"/>
        <v/>
      </c>
      <c r="MQ37" s="4" t="str">
        <f t="shared" si="139"/>
        <v/>
      </c>
      <c r="MR37" s="4" t="str">
        <f t="shared" si="140"/>
        <v/>
      </c>
      <c r="MS37" s="4" t="str">
        <f t="shared" si="141"/>
        <v/>
      </c>
      <c r="MT37" s="4" t="str">
        <f t="shared" si="142"/>
        <v/>
      </c>
      <c r="MU37" s="4" t="str">
        <f t="shared" si="143"/>
        <v/>
      </c>
      <c r="MV37" s="4" t="str">
        <f t="shared" si="144"/>
        <v/>
      </c>
      <c r="MW37" s="4" t="str">
        <f t="shared" si="145"/>
        <v/>
      </c>
      <c r="MX37" s="4" t="str">
        <f t="shared" si="146"/>
        <v/>
      </c>
      <c r="MY37" s="4" t="str">
        <f t="shared" si="147"/>
        <v/>
      </c>
      <c r="MZ37" s="4" t="str">
        <f t="shared" si="148"/>
        <v/>
      </c>
      <c r="NA37" s="4" t="str">
        <f t="shared" si="149"/>
        <v/>
      </c>
      <c r="NB37" s="4" t="str">
        <f t="shared" si="150"/>
        <v/>
      </c>
      <c r="NC37" s="4" t="str">
        <f t="shared" si="151"/>
        <v/>
      </c>
      <c r="ND37" s="4" t="str">
        <f t="shared" si="152"/>
        <v/>
      </c>
      <c r="NE37" s="4" t="str">
        <f t="shared" si="153"/>
        <v/>
      </c>
      <c r="NF37" s="4" t="str">
        <f t="shared" si="154"/>
        <v/>
      </c>
      <c r="NG37" s="4" t="str">
        <f t="shared" si="155"/>
        <v/>
      </c>
      <c r="NH37" s="4" t="str">
        <f t="shared" si="156"/>
        <v/>
      </c>
      <c r="NI37" s="4" t="str">
        <f t="shared" si="157"/>
        <v/>
      </c>
      <c r="NJ37" s="4" t="str">
        <f t="shared" si="158"/>
        <v/>
      </c>
      <c r="NK37" s="4" t="str">
        <f t="shared" si="159"/>
        <v/>
      </c>
      <c r="NL37" s="4" t="str">
        <f t="shared" si="160"/>
        <v/>
      </c>
      <c r="NM37" s="4" t="str">
        <f t="shared" si="161"/>
        <v/>
      </c>
      <c r="NN37" s="4" t="str">
        <f t="shared" si="162"/>
        <v/>
      </c>
      <c r="NO37" s="4" t="str">
        <f t="shared" si="163"/>
        <v/>
      </c>
      <c r="NP37" s="4" t="str">
        <f t="shared" si="164"/>
        <v/>
      </c>
      <c r="NQ37" s="4" t="str">
        <f t="shared" si="165"/>
        <v/>
      </c>
      <c r="NR37" s="4" t="str">
        <f t="shared" si="166"/>
        <v/>
      </c>
      <c r="NS37" s="4" t="str">
        <f t="shared" si="167"/>
        <v/>
      </c>
      <c r="NT37" s="4" t="str">
        <f t="shared" si="168"/>
        <v/>
      </c>
      <c r="NU37" s="4" t="str">
        <f t="shared" si="169"/>
        <v/>
      </c>
      <c r="NV37" s="4" t="str">
        <f t="shared" si="170"/>
        <v/>
      </c>
      <c r="NW37" s="4" t="str">
        <f t="shared" si="171"/>
        <v/>
      </c>
      <c r="NX37" s="4" t="str">
        <f t="shared" si="172"/>
        <v/>
      </c>
      <c r="NY37" s="4" t="str">
        <f t="shared" si="173"/>
        <v/>
      </c>
      <c r="NZ37" s="4" t="str">
        <f t="shared" si="174"/>
        <v/>
      </c>
      <c r="OA37" s="4" t="str">
        <f t="shared" si="175"/>
        <v/>
      </c>
      <c r="OB37" s="4" t="str">
        <f t="shared" si="176"/>
        <v/>
      </c>
      <c r="OC37" s="4" t="str">
        <f t="shared" si="177"/>
        <v/>
      </c>
      <c r="OD37" s="4" t="str">
        <f t="shared" si="178"/>
        <v/>
      </c>
      <c r="OE37" s="4" t="str">
        <f t="shared" si="179"/>
        <v/>
      </c>
      <c r="OF37" s="4" t="str">
        <f t="shared" si="180"/>
        <v/>
      </c>
      <c r="OG37" s="4" t="str">
        <f t="shared" si="181"/>
        <v/>
      </c>
      <c r="OH37" s="4" t="str">
        <f t="shared" si="182"/>
        <v/>
      </c>
      <c r="OI37" s="4" t="str">
        <f t="shared" si="183"/>
        <v/>
      </c>
      <c r="OJ37" s="4" t="str">
        <f t="shared" si="184"/>
        <v/>
      </c>
      <c r="OK37" s="4" t="str">
        <f t="shared" si="185"/>
        <v/>
      </c>
      <c r="OL37" s="4" t="str">
        <f t="shared" si="186"/>
        <v/>
      </c>
      <c r="OM37" s="4" t="str">
        <f t="shared" si="187"/>
        <v/>
      </c>
      <c r="ON37" s="4" t="str">
        <f t="shared" si="188"/>
        <v/>
      </c>
      <c r="OO37" s="4" t="str">
        <f t="shared" si="189"/>
        <v/>
      </c>
      <c r="OP37" s="4" t="str">
        <f t="shared" si="190"/>
        <v/>
      </c>
      <c r="OQ37" s="4" t="str">
        <f t="shared" si="191"/>
        <v/>
      </c>
      <c r="OR37" s="4" t="str">
        <f t="shared" si="192"/>
        <v/>
      </c>
      <c r="OS37" s="4" t="str">
        <f t="shared" si="193"/>
        <v/>
      </c>
      <c r="OT37" s="4" t="str">
        <f t="shared" si="194"/>
        <v/>
      </c>
      <c r="OU37" s="4" t="str">
        <f t="shared" si="195"/>
        <v/>
      </c>
      <c r="OV37" s="4" t="str">
        <f t="shared" si="196"/>
        <v/>
      </c>
      <c r="OW37" s="4" t="str">
        <f t="shared" si="197"/>
        <v/>
      </c>
      <c r="OX37" s="4" t="str">
        <f t="shared" si="198"/>
        <v/>
      </c>
      <c r="OY37" s="4" t="str">
        <f t="shared" si="199"/>
        <v/>
      </c>
      <c r="OZ37" s="4" t="str">
        <f t="shared" si="200"/>
        <v/>
      </c>
      <c r="PA37" s="4" t="str">
        <f t="shared" si="201"/>
        <v/>
      </c>
      <c r="PB37" s="4" t="str">
        <f t="shared" si="202"/>
        <v/>
      </c>
      <c r="PC37" s="4" t="str">
        <f t="shared" si="203"/>
        <v/>
      </c>
      <c r="PD37" s="4" t="str">
        <f t="shared" si="204"/>
        <v/>
      </c>
      <c r="PE37" s="4" t="str">
        <f t="shared" si="205"/>
        <v/>
      </c>
      <c r="PF37" s="4" t="str">
        <f t="shared" si="206"/>
        <v/>
      </c>
      <c r="PG37" s="4" t="str">
        <f t="shared" si="207"/>
        <v/>
      </c>
      <c r="PH37" s="4" t="str">
        <f t="shared" si="208"/>
        <v/>
      </c>
      <c r="PI37" s="4" t="str">
        <f t="shared" si="209"/>
        <v/>
      </c>
      <c r="PJ37" s="4" t="str">
        <f t="shared" si="210"/>
        <v/>
      </c>
      <c r="PK37" s="4" t="str">
        <f t="shared" si="211"/>
        <v/>
      </c>
      <c r="PL37" s="4" t="str">
        <f t="shared" si="212"/>
        <v/>
      </c>
      <c r="PM37" s="4" t="str">
        <f t="shared" si="213"/>
        <v/>
      </c>
      <c r="PN37" s="4" t="str">
        <f t="shared" si="214"/>
        <v/>
      </c>
      <c r="PO37" s="4" t="str">
        <f t="shared" si="215"/>
        <v/>
      </c>
      <c r="PP37" s="4" t="str">
        <f t="shared" si="216"/>
        <v/>
      </c>
      <c r="PQ37" s="4" t="str">
        <f t="shared" si="217"/>
        <v/>
      </c>
      <c r="PR37" s="4" t="str">
        <f t="shared" si="218"/>
        <v/>
      </c>
      <c r="PS37" s="4" t="str">
        <f t="shared" si="219"/>
        <v/>
      </c>
    </row>
    <row r="38">
      <c r="HI38" s="4" t="str">
        <f t="shared" si="2"/>
        <v/>
      </c>
      <c r="HJ38" s="4" t="str">
        <f t="shared" si="3"/>
        <v/>
      </c>
      <c r="HK38" s="4" t="str">
        <f t="shared" si="4"/>
        <v/>
      </c>
      <c r="HL38" s="4" t="str">
        <f t="shared" si="5"/>
        <v/>
      </c>
      <c r="HM38" s="4" t="str">
        <f t="shared" si="6"/>
        <v/>
      </c>
      <c r="HN38" s="4" t="str">
        <f t="shared" si="7"/>
        <v/>
      </c>
      <c r="HO38" s="4" t="str">
        <f t="shared" si="8"/>
        <v/>
      </c>
      <c r="HP38" s="4" t="str">
        <f t="shared" si="9"/>
        <v/>
      </c>
      <c r="HQ38" s="4" t="str">
        <f t="shared" si="10"/>
        <v/>
      </c>
      <c r="HR38" s="4" t="str">
        <f t="shared" si="11"/>
        <v/>
      </c>
      <c r="HS38" s="4" t="str">
        <f t="shared" si="12"/>
        <v/>
      </c>
      <c r="HT38" s="4" t="str">
        <f t="shared" si="13"/>
        <v/>
      </c>
      <c r="HU38" s="4" t="str">
        <f t="shared" si="14"/>
        <v/>
      </c>
      <c r="HV38" s="4" t="str">
        <f t="shared" si="15"/>
        <v/>
      </c>
      <c r="HW38" s="4" t="str">
        <f t="shared" si="16"/>
        <v/>
      </c>
      <c r="HX38" s="4" t="str">
        <f t="shared" si="17"/>
        <v/>
      </c>
      <c r="HY38" s="4" t="str">
        <f t="shared" si="18"/>
        <v/>
      </c>
      <c r="HZ38" s="4" t="str">
        <f t="shared" si="19"/>
        <v/>
      </c>
      <c r="IA38" s="4" t="str">
        <f t="shared" si="20"/>
        <v/>
      </c>
      <c r="IB38" s="4" t="str">
        <f t="shared" si="21"/>
        <v/>
      </c>
      <c r="IC38" s="4" t="str">
        <f t="shared" si="22"/>
        <v/>
      </c>
      <c r="ID38" s="4" t="str">
        <f t="shared" si="23"/>
        <v/>
      </c>
      <c r="IE38" s="4" t="str">
        <f t="shared" si="24"/>
        <v/>
      </c>
      <c r="IF38" s="4" t="str">
        <f t="shared" si="25"/>
        <v/>
      </c>
      <c r="IG38" s="4" t="str">
        <f t="shared" si="26"/>
        <v/>
      </c>
      <c r="IH38" s="4" t="str">
        <f t="shared" si="27"/>
        <v/>
      </c>
      <c r="II38" s="4" t="str">
        <f t="shared" si="28"/>
        <v/>
      </c>
      <c r="IJ38" s="4" t="str">
        <f t="shared" si="29"/>
        <v/>
      </c>
      <c r="IK38" s="4" t="str">
        <f t="shared" si="30"/>
        <v/>
      </c>
      <c r="IL38" s="4" t="str">
        <f t="shared" si="31"/>
        <v/>
      </c>
      <c r="IM38" s="4" t="str">
        <f t="shared" si="32"/>
        <v/>
      </c>
      <c r="IN38" s="4" t="str">
        <f t="shared" si="33"/>
        <v/>
      </c>
      <c r="IO38" s="4" t="str">
        <f t="shared" si="34"/>
        <v/>
      </c>
      <c r="IP38" s="4" t="str">
        <f t="shared" si="35"/>
        <v/>
      </c>
      <c r="IQ38" s="4" t="str">
        <f t="shared" si="36"/>
        <v/>
      </c>
      <c r="IR38" s="4" t="str">
        <f t="shared" si="37"/>
        <v/>
      </c>
      <c r="IS38" s="4" t="str">
        <f t="shared" si="38"/>
        <v/>
      </c>
      <c r="IT38" s="4" t="str">
        <f t="shared" si="39"/>
        <v/>
      </c>
      <c r="IU38" s="4" t="str">
        <f t="shared" si="40"/>
        <v/>
      </c>
      <c r="IV38" s="4" t="str">
        <f t="shared" si="41"/>
        <v/>
      </c>
      <c r="IW38" s="4" t="str">
        <f t="shared" si="42"/>
        <v/>
      </c>
      <c r="IX38" s="4" t="str">
        <f t="shared" si="43"/>
        <v/>
      </c>
      <c r="IY38" s="4" t="str">
        <f t="shared" si="44"/>
        <v/>
      </c>
      <c r="IZ38" s="4" t="str">
        <f t="shared" si="45"/>
        <v/>
      </c>
      <c r="JA38" s="4" t="str">
        <f t="shared" ref="JA38:JB38" si="254">if(ISERROR(SEARCH("Higher Education",BB38)),"","810")</f>
        <v/>
      </c>
      <c r="JB38" s="4" t="str">
        <f t="shared" si="254"/>
        <v/>
      </c>
      <c r="JC38" s="4" t="str">
        <f t="shared" si="47"/>
        <v/>
      </c>
      <c r="JD38" s="4" t="str">
        <f t="shared" si="48"/>
        <v/>
      </c>
      <c r="JE38" s="4" t="str">
        <f t="shared" si="49"/>
        <v/>
      </c>
      <c r="JF38" s="4" t="str">
        <f t="shared" si="50"/>
        <v/>
      </c>
      <c r="JG38" s="4" t="str">
        <f t="shared" si="51"/>
        <v/>
      </c>
      <c r="JH38" s="4" t="str">
        <f t="shared" si="52"/>
        <v/>
      </c>
      <c r="JI38" s="4" t="str">
        <f t="shared" si="53"/>
        <v/>
      </c>
      <c r="JJ38" s="4" t="str">
        <f t="shared" si="54"/>
        <v/>
      </c>
      <c r="JK38" s="4" t="str">
        <f t="shared" si="55"/>
        <v/>
      </c>
      <c r="JL38" s="4" t="str">
        <f t="shared" si="56"/>
        <v/>
      </c>
      <c r="JM38" s="4" t="str">
        <f t="shared" si="57"/>
        <v/>
      </c>
      <c r="JN38" s="4" t="str">
        <f t="shared" si="58"/>
        <v/>
      </c>
      <c r="JO38" s="4" t="str">
        <f t="shared" si="59"/>
        <v/>
      </c>
      <c r="JP38" s="4" t="str">
        <f t="shared" si="60"/>
        <v/>
      </c>
      <c r="JQ38" s="4" t="str">
        <f t="shared" si="61"/>
        <v/>
      </c>
      <c r="JR38" s="4" t="str">
        <f t="shared" si="62"/>
        <v/>
      </c>
      <c r="JS38" s="4" t="str">
        <f t="shared" si="63"/>
        <v/>
      </c>
      <c r="JT38" s="4" t="str">
        <f t="shared" si="64"/>
        <v/>
      </c>
      <c r="JU38" s="4" t="str">
        <f t="shared" si="65"/>
        <v/>
      </c>
      <c r="JV38" s="4" t="str">
        <f t="shared" si="66"/>
        <v/>
      </c>
      <c r="JW38" s="4" t="str">
        <f t="shared" si="67"/>
        <v/>
      </c>
      <c r="JX38" s="4" t="str">
        <f t="shared" si="68"/>
        <v/>
      </c>
      <c r="JY38" s="4" t="str">
        <f t="shared" si="69"/>
        <v/>
      </c>
      <c r="JZ38" s="4" t="str">
        <f t="shared" si="70"/>
        <v/>
      </c>
      <c r="KA38" s="4" t="str">
        <f t="shared" si="71"/>
        <v/>
      </c>
      <c r="KB38" s="4" t="str">
        <f t="shared" si="72"/>
        <v/>
      </c>
      <c r="KC38" s="4" t="str">
        <f t="shared" si="73"/>
        <v/>
      </c>
      <c r="KD38" s="4" t="str">
        <f t="shared" si="74"/>
        <v/>
      </c>
      <c r="KE38" s="4" t="str">
        <f t="shared" si="75"/>
        <v/>
      </c>
      <c r="KF38" s="4" t="str">
        <f t="shared" si="76"/>
        <v/>
      </c>
      <c r="KG38" s="4" t="str">
        <f t="shared" si="77"/>
        <v/>
      </c>
      <c r="KH38" s="4" t="str">
        <f t="shared" si="78"/>
        <v/>
      </c>
      <c r="KI38" s="4" t="str">
        <f t="shared" si="79"/>
        <v/>
      </c>
      <c r="KJ38" s="4" t="str">
        <f t="shared" si="80"/>
        <v/>
      </c>
      <c r="KK38" s="4" t="str">
        <f t="shared" si="81"/>
        <v/>
      </c>
      <c r="KL38" s="4" t="str">
        <f t="shared" si="82"/>
        <v/>
      </c>
      <c r="KM38" s="4" t="str">
        <f t="shared" si="83"/>
        <v/>
      </c>
      <c r="KN38" s="4" t="str">
        <f t="shared" si="84"/>
        <v/>
      </c>
      <c r="KO38" s="4" t="str">
        <f t="shared" si="85"/>
        <v/>
      </c>
      <c r="KP38" s="4" t="str">
        <f t="shared" si="86"/>
        <v/>
      </c>
      <c r="KQ38" s="4" t="str">
        <f t="shared" si="87"/>
        <v/>
      </c>
      <c r="KR38" s="4" t="str">
        <f t="shared" si="88"/>
        <v/>
      </c>
      <c r="KS38" s="4" t="str">
        <f t="shared" si="89"/>
        <v/>
      </c>
      <c r="KT38" s="4" t="str">
        <f t="shared" si="90"/>
        <v/>
      </c>
      <c r="KU38" s="4" t="str">
        <f t="shared" si="91"/>
        <v/>
      </c>
      <c r="KV38" s="4" t="str">
        <f t="shared" si="92"/>
        <v/>
      </c>
      <c r="KW38" s="4" t="str">
        <f t="shared" si="93"/>
        <v/>
      </c>
      <c r="KX38" s="4" t="str">
        <f t="shared" si="94"/>
        <v/>
      </c>
      <c r="KY38" s="4" t="str">
        <f t="shared" si="95"/>
        <v/>
      </c>
      <c r="KZ38" s="4" t="str">
        <f t="shared" si="96"/>
        <v/>
      </c>
      <c r="LA38" s="4" t="str">
        <f t="shared" si="97"/>
        <v/>
      </c>
      <c r="LB38" s="4" t="str">
        <f t="shared" si="98"/>
        <v/>
      </c>
      <c r="LC38" s="4" t="str">
        <f t="shared" si="99"/>
        <v/>
      </c>
      <c r="LD38" s="4" t="str">
        <f t="shared" si="100"/>
        <v/>
      </c>
      <c r="LE38" s="4" t="str">
        <f t="shared" si="101"/>
        <v/>
      </c>
      <c r="LF38" s="4" t="str">
        <f t="shared" si="102"/>
        <v/>
      </c>
      <c r="LG38" s="4" t="str">
        <f t="shared" si="103"/>
        <v/>
      </c>
      <c r="LH38" s="4" t="str">
        <f t="shared" si="104"/>
        <v/>
      </c>
      <c r="LI38" s="4" t="str">
        <f t="shared" si="105"/>
        <v/>
      </c>
      <c r="LJ38" s="4" t="str">
        <f t="shared" si="106"/>
        <v/>
      </c>
      <c r="LK38" s="4" t="str">
        <f t="shared" si="107"/>
        <v/>
      </c>
      <c r="LL38" s="4" t="str">
        <f t="shared" si="108"/>
        <v/>
      </c>
      <c r="LM38" s="4" t="str">
        <f t="shared" si="109"/>
        <v/>
      </c>
      <c r="LN38" s="4" t="str">
        <f t="shared" si="110"/>
        <v/>
      </c>
      <c r="LO38" s="4" t="str">
        <f t="shared" si="111"/>
        <v/>
      </c>
      <c r="LP38" s="4" t="str">
        <f t="shared" si="112"/>
        <v/>
      </c>
      <c r="LQ38" s="4" t="str">
        <f t="shared" si="113"/>
        <v/>
      </c>
      <c r="LR38" s="4" t="str">
        <f t="shared" si="114"/>
        <v/>
      </c>
      <c r="LS38" s="4" t="str">
        <f t="shared" si="115"/>
        <v/>
      </c>
      <c r="LT38" s="4" t="str">
        <f t="shared" si="116"/>
        <v/>
      </c>
      <c r="LU38" s="4" t="str">
        <f t="shared" si="117"/>
        <v/>
      </c>
      <c r="LV38" s="4" t="str">
        <f t="shared" si="118"/>
        <v/>
      </c>
      <c r="LW38" s="4" t="str">
        <f t="shared" si="119"/>
        <v/>
      </c>
      <c r="LX38" s="4" t="str">
        <f t="shared" si="120"/>
        <v/>
      </c>
      <c r="LY38" s="4" t="str">
        <f t="shared" si="121"/>
        <v/>
      </c>
      <c r="LZ38" s="4" t="str">
        <f t="shared" si="122"/>
        <v/>
      </c>
      <c r="MA38" s="4" t="str">
        <f t="shared" si="123"/>
        <v/>
      </c>
      <c r="MB38" s="4" t="str">
        <f t="shared" si="124"/>
        <v/>
      </c>
      <c r="MC38" s="4" t="str">
        <f t="shared" si="125"/>
        <v/>
      </c>
      <c r="MD38" s="4" t="str">
        <f t="shared" si="126"/>
        <v/>
      </c>
      <c r="ME38" s="4" t="str">
        <f t="shared" si="127"/>
        <v/>
      </c>
      <c r="MF38" s="4" t="str">
        <f t="shared" si="128"/>
        <v/>
      </c>
      <c r="MG38" s="4" t="str">
        <f t="shared" si="129"/>
        <v/>
      </c>
      <c r="MH38" s="4" t="str">
        <f t="shared" si="130"/>
        <v/>
      </c>
      <c r="MI38" s="4" t="str">
        <f t="shared" si="131"/>
        <v/>
      </c>
      <c r="MJ38" s="4" t="str">
        <f t="shared" si="132"/>
        <v/>
      </c>
      <c r="MK38" s="4" t="str">
        <f t="shared" si="133"/>
        <v/>
      </c>
      <c r="ML38" s="4" t="str">
        <f t="shared" si="134"/>
        <v/>
      </c>
      <c r="MM38" s="4" t="str">
        <f t="shared" si="135"/>
        <v/>
      </c>
      <c r="MN38" s="4" t="str">
        <f t="shared" si="136"/>
        <v/>
      </c>
      <c r="MO38" s="4" t="str">
        <f t="shared" si="137"/>
        <v/>
      </c>
      <c r="MP38" s="4" t="str">
        <f t="shared" si="138"/>
        <v/>
      </c>
      <c r="MQ38" s="4" t="str">
        <f t="shared" si="139"/>
        <v/>
      </c>
      <c r="MR38" s="4" t="str">
        <f t="shared" si="140"/>
        <v/>
      </c>
      <c r="MS38" s="4" t="str">
        <f t="shared" si="141"/>
        <v/>
      </c>
      <c r="MT38" s="4" t="str">
        <f t="shared" si="142"/>
        <v/>
      </c>
      <c r="MU38" s="4" t="str">
        <f t="shared" si="143"/>
        <v/>
      </c>
      <c r="MV38" s="4" t="str">
        <f t="shared" si="144"/>
        <v/>
      </c>
      <c r="MW38" s="4" t="str">
        <f t="shared" si="145"/>
        <v/>
      </c>
      <c r="MX38" s="4" t="str">
        <f t="shared" si="146"/>
        <v/>
      </c>
      <c r="MY38" s="4" t="str">
        <f t="shared" si="147"/>
        <v/>
      </c>
      <c r="MZ38" s="4" t="str">
        <f t="shared" si="148"/>
        <v/>
      </c>
      <c r="NA38" s="4" t="str">
        <f t="shared" si="149"/>
        <v/>
      </c>
      <c r="NB38" s="4" t="str">
        <f t="shared" si="150"/>
        <v/>
      </c>
      <c r="NC38" s="4" t="str">
        <f t="shared" si="151"/>
        <v/>
      </c>
      <c r="ND38" s="4" t="str">
        <f t="shared" si="152"/>
        <v/>
      </c>
      <c r="NE38" s="4" t="str">
        <f t="shared" si="153"/>
        <v/>
      </c>
      <c r="NF38" s="4" t="str">
        <f t="shared" si="154"/>
        <v/>
      </c>
      <c r="NG38" s="4" t="str">
        <f t="shared" si="155"/>
        <v/>
      </c>
      <c r="NH38" s="4" t="str">
        <f t="shared" si="156"/>
        <v/>
      </c>
      <c r="NI38" s="4" t="str">
        <f t="shared" si="157"/>
        <v/>
      </c>
      <c r="NJ38" s="4" t="str">
        <f t="shared" si="158"/>
        <v/>
      </c>
      <c r="NK38" s="4" t="str">
        <f t="shared" si="159"/>
        <v/>
      </c>
      <c r="NL38" s="4" t="str">
        <f t="shared" si="160"/>
        <v/>
      </c>
      <c r="NM38" s="4" t="str">
        <f t="shared" si="161"/>
        <v/>
      </c>
      <c r="NN38" s="4" t="str">
        <f t="shared" si="162"/>
        <v/>
      </c>
      <c r="NO38" s="4" t="str">
        <f t="shared" si="163"/>
        <v/>
      </c>
      <c r="NP38" s="4" t="str">
        <f t="shared" si="164"/>
        <v/>
      </c>
      <c r="NQ38" s="4" t="str">
        <f t="shared" si="165"/>
        <v/>
      </c>
      <c r="NR38" s="4" t="str">
        <f t="shared" si="166"/>
        <v/>
      </c>
      <c r="NS38" s="4" t="str">
        <f t="shared" si="167"/>
        <v/>
      </c>
      <c r="NT38" s="4" t="str">
        <f t="shared" si="168"/>
        <v/>
      </c>
      <c r="NU38" s="4" t="str">
        <f t="shared" si="169"/>
        <v/>
      </c>
      <c r="NV38" s="4" t="str">
        <f t="shared" si="170"/>
        <v/>
      </c>
      <c r="NW38" s="4" t="str">
        <f t="shared" si="171"/>
        <v/>
      </c>
      <c r="NX38" s="4" t="str">
        <f t="shared" si="172"/>
        <v/>
      </c>
      <c r="NY38" s="4" t="str">
        <f t="shared" si="173"/>
        <v/>
      </c>
      <c r="NZ38" s="4" t="str">
        <f t="shared" si="174"/>
        <v/>
      </c>
      <c r="OA38" s="4" t="str">
        <f t="shared" si="175"/>
        <v/>
      </c>
      <c r="OB38" s="4" t="str">
        <f t="shared" si="176"/>
        <v/>
      </c>
      <c r="OC38" s="4" t="str">
        <f t="shared" si="177"/>
        <v/>
      </c>
      <c r="OD38" s="4" t="str">
        <f t="shared" si="178"/>
        <v/>
      </c>
      <c r="OE38" s="4" t="str">
        <f t="shared" si="179"/>
        <v/>
      </c>
      <c r="OF38" s="4" t="str">
        <f t="shared" si="180"/>
        <v/>
      </c>
      <c r="OG38" s="4" t="str">
        <f t="shared" si="181"/>
        <v/>
      </c>
      <c r="OH38" s="4" t="str">
        <f t="shared" si="182"/>
        <v/>
      </c>
      <c r="OI38" s="4" t="str">
        <f t="shared" si="183"/>
        <v/>
      </c>
      <c r="OJ38" s="4" t="str">
        <f t="shared" si="184"/>
        <v/>
      </c>
      <c r="OK38" s="4" t="str">
        <f t="shared" si="185"/>
        <v/>
      </c>
      <c r="OL38" s="4" t="str">
        <f t="shared" si="186"/>
        <v/>
      </c>
      <c r="OM38" s="4" t="str">
        <f t="shared" si="187"/>
        <v/>
      </c>
      <c r="ON38" s="4" t="str">
        <f t="shared" si="188"/>
        <v/>
      </c>
      <c r="OO38" s="4" t="str">
        <f t="shared" si="189"/>
        <v/>
      </c>
      <c r="OP38" s="4" t="str">
        <f t="shared" si="190"/>
        <v/>
      </c>
      <c r="OQ38" s="4" t="str">
        <f t="shared" si="191"/>
        <v/>
      </c>
      <c r="OR38" s="4" t="str">
        <f t="shared" si="192"/>
        <v/>
      </c>
      <c r="OS38" s="4" t="str">
        <f t="shared" si="193"/>
        <v/>
      </c>
      <c r="OT38" s="4" t="str">
        <f t="shared" si="194"/>
        <v/>
      </c>
      <c r="OU38" s="4" t="str">
        <f t="shared" si="195"/>
        <v/>
      </c>
      <c r="OV38" s="4" t="str">
        <f t="shared" si="196"/>
        <v/>
      </c>
      <c r="OW38" s="4" t="str">
        <f t="shared" si="197"/>
        <v/>
      </c>
      <c r="OX38" s="4" t="str">
        <f t="shared" si="198"/>
        <v/>
      </c>
      <c r="OY38" s="4" t="str">
        <f t="shared" si="199"/>
        <v/>
      </c>
      <c r="OZ38" s="4" t="str">
        <f t="shared" si="200"/>
        <v/>
      </c>
      <c r="PA38" s="4" t="str">
        <f t="shared" si="201"/>
        <v/>
      </c>
      <c r="PB38" s="4" t="str">
        <f t="shared" si="202"/>
        <v/>
      </c>
      <c r="PC38" s="4" t="str">
        <f t="shared" si="203"/>
        <v/>
      </c>
      <c r="PD38" s="4" t="str">
        <f t="shared" si="204"/>
        <v/>
      </c>
      <c r="PE38" s="4" t="str">
        <f t="shared" si="205"/>
        <v/>
      </c>
      <c r="PF38" s="4" t="str">
        <f t="shared" si="206"/>
        <v/>
      </c>
      <c r="PG38" s="4" t="str">
        <f t="shared" si="207"/>
        <v/>
      </c>
      <c r="PH38" s="4" t="str">
        <f t="shared" si="208"/>
        <v/>
      </c>
      <c r="PI38" s="4" t="str">
        <f t="shared" si="209"/>
        <v/>
      </c>
      <c r="PJ38" s="4" t="str">
        <f t="shared" si="210"/>
        <v/>
      </c>
      <c r="PK38" s="4" t="str">
        <f t="shared" si="211"/>
        <v/>
      </c>
      <c r="PL38" s="4" t="str">
        <f t="shared" si="212"/>
        <v/>
      </c>
      <c r="PM38" s="4" t="str">
        <f t="shared" si="213"/>
        <v/>
      </c>
      <c r="PN38" s="4" t="str">
        <f t="shared" si="214"/>
        <v/>
      </c>
      <c r="PO38" s="4" t="str">
        <f t="shared" si="215"/>
        <v/>
      </c>
      <c r="PP38" s="4" t="str">
        <f t="shared" si="216"/>
        <v/>
      </c>
      <c r="PQ38" s="4" t="str">
        <f t="shared" si="217"/>
        <v/>
      </c>
      <c r="PR38" s="4" t="str">
        <f t="shared" si="218"/>
        <v/>
      </c>
      <c r="PS38" s="4" t="str">
        <f t="shared" si="219"/>
        <v/>
      </c>
    </row>
    <row r="39">
      <c r="HI39" s="4" t="str">
        <f t="shared" si="2"/>
        <v/>
      </c>
      <c r="HJ39" s="4" t="str">
        <f t="shared" si="3"/>
        <v/>
      </c>
      <c r="HK39" s="4" t="str">
        <f t="shared" si="4"/>
        <v/>
      </c>
      <c r="HL39" s="4" t="str">
        <f t="shared" si="5"/>
        <v/>
      </c>
      <c r="HM39" s="4" t="str">
        <f t="shared" si="6"/>
        <v/>
      </c>
      <c r="HN39" s="4" t="str">
        <f t="shared" si="7"/>
        <v/>
      </c>
      <c r="HO39" s="4" t="str">
        <f t="shared" si="8"/>
        <v/>
      </c>
      <c r="HP39" s="4" t="str">
        <f t="shared" si="9"/>
        <v/>
      </c>
      <c r="HQ39" s="4" t="str">
        <f t="shared" si="10"/>
        <v/>
      </c>
      <c r="HR39" s="4" t="str">
        <f t="shared" si="11"/>
        <v/>
      </c>
      <c r="HS39" s="4" t="str">
        <f t="shared" si="12"/>
        <v/>
      </c>
      <c r="HT39" s="4" t="str">
        <f t="shared" si="13"/>
        <v/>
      </c>
      <c r="HU39" s="4" t="str">
        <f t="shared" si="14"/>
        <v/>
      </c>
      <c r="HV39" s="4" t="str">
        <f t="shared" si="15"/>
        <v/>
      </c>
      <c r="HW39" s="4" t="str">
        <f t="shared" si="16"/>
        <v/>
      </c>
      <c r="HX39" s="4" t="str">
        <f t="shared" si="17"/>
        <v/>
      </c>
      <c r="HY39" s="4" t="str">
        <f t="shared" si="18"/>
        <v/>
      </c>
      <c r="HZ39" s="4" t="str">
        <f t="shared" si="19"/>
        <v/>
      </c>
      <c r="IA39" s="4" t="str">
        <f t="shared" si="20"/>
        <v/>
      </c>
      <c r="IB39" s="4" t="str">
        <f t="shared" si="21"/>
        <v/>
      </c>
      <c r="IC39" s="4" t="str">
        <f t="shared" si="22"/>
        <v/>
      </c>
      <c r="ID39" s="4" t="str">
        <f t="shared" si="23"/>
        <v/>
      </c>
      <c r="IE39" s="4" t="str">
        <f t="shared" si="24"/>
        <v/>
      </c>
      <c r="IF39" s="4" t="str">
        <f t="shared" si="25"/>
        <v/>
      </c>
      <c r="IG39" s="4" t="str">
        <f t="shared" si="26"/>
        <v/>
      </c>
      <c r="IH39" s="4" t="str">
        <f t="shared" si="27"/>
        <v/>
      </c>
      <c r="II39" s="4" t="str">
        <f t="shared" si="28"/>
        <v/>
      </c>
      <c r="IJ39" s="4" t="str">
        <f t="shared" si="29"/>
        <v/>
      </c>
      <c r="IK39" s="4" t="str">
        <f t="shared" si="30"/>
        <v/>
      </c>
      <c r="IL39" s="4" t="str">
        <f t="shared" si="31"/>
        <v/>
      </c>
      <c r="IM39" s="4" t="str">
        <f t="shared" si="32"/>
        <v/>
      </c>
      <c r="IN39" s="4" t="str">
        <f t="shared" si="33"/>
        <v/>
      </c>
      <c r="IO39" s="4" t="str">
        <f t="shared" si="34"/>
        <v/>
      </c>
      <c r="IP39" s="4" t="str">
        <f t="shared" si="35"/>
        <v/>
      </c>
      <c r="IQ39" s="4" t="str">
        <f t="shared" si="36"/>
        <v/>
      </c>
      <c r="IR39" s="4" t="str">
        <f t="shared" si="37"/>
        <v/>
      </c>
      <c r="IS39" s="4" t="str">
        <f t="shared" si="38"/>
        <v/>
      </c>
      <c r="IT39" s="4" t="str">
        <f t="shared" si="39"/>
        <v/>
      </c>
      <c r="IU39" s="4" t="str">
        <f t="shared" si="40"/>
        <v/>
      </c>
      <c r="IV39" s="4" t="str">
        <f t="shared" si="41"/>
        <v/>
      </c>
      <c r="IW39" s="4" t="str">
        <f t="shared" si="42"/>
        <v/>
      </c>
      <c r="IX39" s="4" t="str">
        <f t="shared" si="43"/>
        <v/>
      </c>
      <c r="IY39" s="4" t="str">
        <f t="shared" si="44"/>
        <v/>
      </c>
      <c r="IZ39" s="4" t="str">
        <f t="shared" si="45"/>
        <v/>
      </c>
      <c r="JA39" s="4" t="str">
        <f t="shared" ref="JA39:JB39" si="255">if(ISERROR(SEARCH("Higher Education",BB39)),"","810")</f>
        <v/>
      </c>
      <c r="JB39" s="4" t="str">
        <f t="shared" si="255"/>
        <v/>
      </c>
      <c r="JC39" s="4" t="str">
        <f t="shared" si="47"/>
        <v/>
      </c>
      <c r="JD39" s="4" t="str">
        <f t="shared" si="48"/>
        <v/>
      </c>
      <c r="JE39" s="4" t="str">
        <f t="shared" si="49"/>
        <v/>
      </c>
      <c r="JF39" s="4" t="str">
        <f t="shared" si="50"/>
        <v/>
      </c>
      <c r="JG39" s="4" t="str">
        <f t="shared" si="51"/>
        <v/>
      </c>
      <c r="JH39" s="4" t="str">
        <f t="shared" si="52"/>
        <v/>
      </c>
      <c r="JI39" s="4" t="str">
        <f t="shared" si="53"/>
        <v/>
      </c>
      <c r="JJ39" s="4" t="str">
        <f t="shared" si="54"/>
        <v/>
      </c>
      <c r="JK39" s="4" t="str">
        <f t="shared" si="55"/>
        <v/>
      </c>
      <c r="JL39" s="4" t="str">
        <f t="shared" si="56"/>
        <v/>
      </c>
      <c r="JM39" s="4" t="str">
        <f t="shared" si="57"/>
        <v/>
      </c>
      <c r="JN39" s="4" t="str">
        <f t="shared" si="58"/>
        <v/>
      </c>
      <c r="JO39" s="4" t="str">
        <f t="shared" si="59"/>
        <v/>
      </c>
      <c r="JP39" s="4" t="str">
        <f t="shared" si="60"/>
        <v/>
      </c>
      <c r="JQ39" s="4" t="str">
        <f t="shared" si="61"/>
        <v/>
      </c>
      <c r="JR39" s="4" t="str">
        <f t="shared" si="62"/>
        <v/>
      </c>
      <c r="JS39" s="4" t="str">
        <f t="shared" si="63"/>
        <v/>
      </c>
      <c r="JT39" s="4" t="str">
        <f t="shared" si="64"/>
        <v/>
      </c>
      <c r="JU39" s="4" t="str">
        <f t="shared" si="65"/>
        <v/>
      </c>
      <c r="JV39" s="4" t="str">
        <f t="shared" si="66"/>
        <v/>
      </c>
      <c r="JW39" s="4" t="str">
        <f t="shared" si="67"/>
        <v/>
      </c>
      <c r="JX39" s="4" t="str">
        <f t="shared" si="68"/>
        <v/>
      </c>
      <c r="JY39" s="4" t="str">
        <f t="shared" si="69"/>
        <v/>
      </c>
      <c r="JZ39" s="4" t="str">
        <f t="shared" si="70"/>
        <v/>
      </c>
      <c r="KA39" s="4" t="str">
        <f t="shared" si="71"/>
        <v/>
      </c>
      <c r="KB39" s="4" t="str">
        <f t="shared" si="72"/>
        <v/>
      </c>
      <c r="KC39" s="4" t="str">
        <f t="shared" si="73"/>
        <v/>
      </c>
      <c r="KD39" s="4" t="str">
        <f t="shared" si="74"/>
        <v/>
      </c>
      <c r="KE39" s="4" t="str">
        <f t="shared" si="75"/>
        <v/>
      </c>
      <c r="KF39" s="4" t="str">
        <f t="shared" si="76"/>
        <v/>
      </c>
      <c r="KG39" s="4" t="str">
        <f t="shared" si="77"/>
        <v/>
      </c>
      <c r="KH39" s="4" t="str">
        <f t="shared" si="78"/>
        <v/>
      </c>
      <c r="KI39" s="4" t="str">
        <f t="shared" si="79"/>
        <v/>
      </c>
      <c r="KJ39" s="4" t="str">
        <f t="shared" si="80"/>
        <v/>
      </c>
      <c r="KK39" s="4" t="str">
        <f t="shared" si="81"/>
        <v/>
      </c>
      <c r="KL39" s="4" t="str">
        <f t="shared" si="82"/>
        <v/>
      </c>
      <c r="KM39" s="4" t="str">
        <f t="shared" si="83"/>
        <v/>
      </c>
      <c r="KN39" s="4" t="str">
        <f t="shared" si="84"/>
        <v/>
      </c>
      <c r="KO39" s="4" t="str">
        <f t="shared" si="85"/>
        <v/>
      </c>
      <c r="KP39" s="4" t="str">
        <f t="shared" si="86"/>
        <v/>
      </c>
      <c r="KQ39" s="4" t="str">
        <f t="shared" si="87"/>
        <v/>
      </c>
      <c r="KR39" s="4" t="str">
        <f t="shared" si="88"/>
        <v/>
      </c>
      <c r="KS39" s="4" t="str">
        <f t="shared" si="89"/>
        <v/>
      </c>
      <c r="KT39" s="4" t="str">
        <f t="shared" si="90"/>
        <v/>
      </c>
      <c r="KU39" s="4" t="str">
        <f t="shared" si="91"/>
        <v/>
      </c>
      <c r="KV39" s="4" t="str">
        <f t="shared" si="92"/>
        <v/>
      </c>
      <c r="KW39" s="4" t="str">
        <f t="shared" si="93"/>
        <v/>
      </c>
      <c r="KX39" s="4" t="str">
        <f t="shared" si="94"/>
        <v/>
      </c>
      <c r="KY39" s="4" t="str">
        <f t="shared" si="95"/>
        <v/>
      </c>
      <c r="KZ39" s="4" t="str">
        <f t="shared" si="96"/>
        <v/>
      </c>
      <c r="LA39" s="4" t="str">
        <f t="shared" si="97"/>
        <v/>
      </c>
      <c r="LB39" s="4" t="str">
        <f t="shared" si="98"/>
        <v/>
      </c>
      <c r="LC39" s="4" t="str">
        <f t="shared" si="99"/>
        <v/>
      </c>
      <c r="LD39" s="4" t="str">
        <f t="shared" si="100"/>
        <v/>
      </c>
      <c r="LE39" s="4" t="str">
        <f t="shared" si="101"/>
        <v/>
      </c>
      <c r="LF39" s="4" t="str">
        <f t="shared" si="102"/>
        <v/>
      </c>
      <c r="LG39" s="4" t="str">
        <f t="shared" si="103"/>
        <v/>
      </c>
      <c r="LH39" s="4" t="str">
        <f t="shared" si="104"/>
        <v/>
      </c>
      <c r="LI39" s="4" t="str">
        <f t="shared" si="105"/>
        <v/>
      </c>
      <c r="LJ39" s="4" t="str">
        <f t="shared" si="106"/>
        <v/>
      </c>
      <c r="LK39" s="4" t="str">
        <f t="shared" si="107"/>
        <v/>
      </c>
      <c r="LL39" s="4" t="str">
        <f t="shared" si="108"/>
        <v/>
      </c>
      <c r="LM39" s="4" t="str">
        <f t="shared" si="109"/>
        <v/>
      </c>
      <c r="LN39" s="4" t="str">
        <f t="shared" si="110"/>
        <v/>
      </c>
      <c r="LO39" s="4" t="str">
        <f t="shared" si="111"/>
        <v/>
      </c>
      <c r="LP39" s="4" t="str">
        <f t="shared" si="112"/>
        <v/>
      </c>
      <c r="LQ39" s="4" t="str">
        <f t="shared" si="113"/>
        <v/>
      </c>
      <c r="LR39" s="4" t="str">
        <f t="shared" si="114"/>
        <v/>
      </c>
      <c r="LS39" s="4" t="str">
        <f t="shared" si="115"/>
        <v/>
      </c>
      <c r="LT39" s="4" t="str">
        <f t="shared" si="116"/>
        <v/>
      </c>
      <c r="LU39" s="4" t="str">
        <f t="shared" si="117"/>
        <v/>
      </c>
      <c r="LV39" s="4" t="str">
        <f t="shared" si="118"/>
        <v/>
      </c>
      <c r="LW39" s="4" t="str">
        <f t="shared" si="119"/>
        <v/>
      </c>
      <c r="LX39" s="4" t="str">
        <f t="shared" si="120"/>
        <v/>
      </c>
      <c r="LY39" s="4" t="str">
        <f t="shared" si="121"/>
        <v/>
      </c>
      <c r="LZ39" s="4" t="str">
        <f t="shared" si="122"/>
        <v/>
      </c>
      <c r="MA39" s="4" t="str">
        <f t="shared" si="123"/>
        <v/>
      </c>
      <c r="MB39" s="4" t="str">
        <f t="shared" si="124"/>
        <v/>
      </c>
      <c r="MC39" s="4" t="str">
        <f t="shared" si="125"/>
        <v/>
      </c>
      <c r="MD39" s="4" t="str">
        <f t="shared" si="126"/>
        <v/>
      </c>
      <c r="ME39" s="4" t="str">
        <f t="shared" si="127"/>
        <v/>
      </c>
      <c r="MF39" s="4" t="str">
        <f t="shared" si="128"/>
        <v/>
      </c>
      <c r="MG39" s="4" t="str">
        <f t="shared" si="129"/>
        <v/>
      </c>
      <c r="MH39" s="4" t="str">
        <f t="shared" si="130"/>
        <v/>
      </c>
      <c r="MI39" s="4" t="str">
        <f t="shared" si="131"/>
        <v/>
      </c>
      <c r="MJ39" s="4" t="str">
        <f t="shared" si="132"/>
        <v/>
      </c>
      <c r="MK39" s="4" t="str">
        <f t="shared" si="133"/>
        <v/>
      </c>
      <c r="ML39" s="4" t="str">
        <f t="shared" si="134"/>
        <v/>
      </c>
      <c r="MM39" s="4" t="str">
        <f t="shared" si="135"/>
        <v/>
      </c>
      <c r="MN39" s="4" t="str">
        <f t="shared" si="136"/>
        <v/>
      </c>
      <c r="MO39" s="4" t="str">
        <f t="shared" si="137"/>
        <v/>
      </c>
      <c r="MP39" s="4" t="str">
        <f t="shared" si="138"/>
        <v/>
      </c>
      <c r="MQ39" s="4" t="str">
        <f t="shared" si="139"/>
        <v/>
      </c>
      <c r="MR39" s="4" t="str">
        <f t="shared" si="140"/>
        <v/>
      </c>
      <c r="MS39" s="4" t="str">
        <f t="shared" si="141"/>
        <v/>
      </c>
      <c r="MT39" s="4" t="str">
        <f t="shared" si="142"/>
        <v/>
      </c>
      <c r="MU39" s="4" t="str">
        <f t="shared" si="143"/>
        <v/>
      </c>
      <c r="MV39" s="4" t="str">
        <f t="shared" si="144"/>
        <v/>
      </c>
      <c r="MW39" s="4" t="str">
        <f t="shared" si="145"/>
        <v/>
      </c>
      <c r="MX39" s="4" t="str">
        <f t="shared" si="146"/>
        <v/>
      </c>
      <c r="MY39" s="4" t="str">
        <f t="shared" si="147"/>
        <v/>
      </c>
      <c r="MZ39" s="4" t="str">
        <f t="shared" si="148"/>
        <v/>
      </c>
      <c r="NA39" s="4" t="str">
        <f t="shared" si="149"/>
        <v/>
      </c>
      <c r="NB39" s="4" t="str">
        <f t="shared" si="150"/>
        <v/>
      </c>
      <c r="NC39" s="4" t="str">
        <f t="shared" si="151"/>
        <v/>
      </c>
      <c r="ND39" s="4" t="str">
        <f t="shared" si="152"/>
        <v/>
      </c>
      <c r="NE39" s="4" t="str">
        <f t="shared" si="153"/>
        <v/>
      </c>
      <c r="NF39" s="4" t="str">
        <f t="shared" si="154"/>
        <v/>
      </c>
      <c r="NG39" s="4" t="str">
        <f t="shared" si="155"/>
        <v/>
      </c>
      <c r="NH39" s="4" t="str">
        <f t="shared" si="156"/>
        <v/>
      </c>
      <c r="NI39" s="4" t="str">
        <f t="shared" si="157"/>
        <v/>
      </c>
      <c r="NJ39" s="4" t="str">
        <f t="shared" si="158"/>
        <v/>
      </c>
      <c r="NK39" s="4" t="str">
        <f t="shared" si="159"/>
        <v/>
      </c>
      <c r="NL39" s="4" t="str">
        <f t="shared" si="160"/>
        <v/>
      </c>
      <c r="NM39" s="4" t="str">
        <f t="shared" si="161"/>
        <v/>
      </c>
      <c r="NN39" s="4" t="str">
        <f t="shared" si="162"/>
        <v/>
      </c>
      <c r="NO39" s="4" t="str">
        <f t="shared" si="163"/>
        <v/>
      </c>
      <c r="NP39" s="4" t="str">
        <f t="shared" si="164"/>
        <v/>
      </c>
      <c r="NQ39" s="4" t="str">
        <f t="shared" si="165"/>
        <v/>
      </c>
      <c r="NR39" s="4" t="str">
        <f t="shared" si="166"/>
        <v/>
      </c>
      <c r="NS39" s="4" t="str">
        <f t="shared" si="167"/>
        <v/>
      </c>
      <c r="NT39" s="4" t="str">
        <f t="shared" si="168"/>
        <v/>
      </c>
      <c r="NU39" s="4" t="str">
        <f t="shared" si="169"/>
        <v/>
      </c>
      <c r="NV39" s="4" t="str">
        <f t="shared" si="170"/>
        <v/>
      </c>
      <c r="NW39" s="4" t="str">
        <f t="shared" si="171"/>
        <v/>
      </c>
      <c r="NX39" s="4" t="str">
        <f t="shared" si="172"/>
        <v/>
      </c>
      <c r="NY39" s="4" t="str">
        <f t="shared" si="173"/>
        <v/>
      </c>
      <c r="NZ39" s="4" t="str">
        <f t="shared" si="174"/>
        <v/>
      </c>
      <c r="OA39" s="4" t="str">
        <f t="shared" si="175"/>
        <v/>
      </c>
      <c r="OB39" s="4" t="str">
        <f t="shared" si="176"/>
        <v/>
      </c>
      <c r="OC39" s="4" t="str">
        <f t="shared" si="177"/>
        <v/>
      </c>
      <c r="OD39" s="4" t="str">
        <f t="shared" si="178"/>
        <v/>
      </c>
      <c r="OE39" s="4" t="str">
        <f t="shared" si="179"/>
        <v/>
      </c>
      <c r="OF39" s="4" t="str">
        <f t="shared" si="180"/>
        <v/>
      </c>
      <c r="OG39" s="4" t="str">
        <f t="shared" si="181"/>
        <v/>
      </c>
      <c r="OH39" s="4" t="str">
        <f t="shared" si="182"/>
        <v/>
      </c>
      <c r="OI39" s="4" t="str">
        <f t="shared" si="183"/>
        <v/>
      </c>
      <c r="OJ39" s="4" t="str">
        <f t="shared" si="184"/>
        <v/>
      </c>
      <c r="OK39" s="4" t="str">
        <f t="shared" si="185"/>
        <v/>
      </c>
      <c r="OL39" s="4" t="str">
        <f t="shared" si="186"/>
        <v/>
      </c>
      <c r="OM39" s="4" t="str">
        <f t="shared" si="187"/>
        <v/>
      </c>
      <c r="ON39" s="4" t="str">
        <f t="shared" si="188"/>
        <v/>
      </c>
      <c r="OO39" s="4" t="str">
        <f t="shared" si="189"/>
        <v/>
      </c>
      <c r="OP39" s="4" t="str">
        <f t="shared" si="190"/>
        <v/>
      </c>
      <c r="OQ39" s="4" t="str">
        <f t="shared" si="191"/>
        <v/>
      </c>
      <c r="OR39" s="4" t="str">
        <f t="shared" si="192"/>
        <v/>
      </c>
      <c r="OS39" s="4" t="str">
        <f t="shared" si="193"/>
        <v/>
      </c>
      <c r="OT39" s="4" t="str">
        <f t="shared" si="194"/>
        <v/>
      </c>
      <c r="OU39" s="4" t="str">
        <f t="shared" si="195"/>
        <v/>
      </c>
      <c r="OV39" s="4" t="str">
        <f t="shared" si="196"/>
        <v/>
      </c>
      <c r="OW39" s="4" t="str">
        <f t="shared" si="197"/>
        <v/>
      </c>
      <c r="OX39" s="4" t="str">
        <f t="shared" si="198"/>
        <v/>
      </c>
      <c r="OY39" s="4" t="str">
        <f t="shared" si="199"/>
        <v/>
      </c>
      <c r="OZ39" s="4" t="str">
        <f t="shared" si="200"/>
        <v/>
      </c>
      <c r="PA39" s="4" t="str">
        <f t="shared" si="201"/>
        <v/>
      </c>
      <c r="PB39" s="4" t="str">
        <f t="shared" si="202"/>
        <v/>
      </c>
      <c r="PC39" s="4" t="str">
        <f t="shared" si="203"/>
        <v/>
      </c>
      <c r="PD39" s="4" t="str">
        <f t="shared" si="204"/>
        <v/>
      </c>
      <c r="PE39" s="4" t="str">
        <f t="shared" si="205"/>
        <v/>
      </c>
      <c r="PF39" s="4" t="str">
        <f t="shared" si="206"/>
        <v/>
      </c>
      <c r="PG39" s="4" t="str">
        <f t="shared" si="207"/>
        <v/>
      </c>
      <c r="PH39" s="4" t="str">
        <f t="shared" si="208"/>
        <v/>
      </c>
      <c r="PI39" s="4" t="str">
        <f t="shared" si="209"/>
        <v/>
      </c>
      <c r="PJ39" s="4" t="str">
        <f t="shared" si="210"/>
        <v/>
      </c>
      <c r="PK39" s="4" t="str">
        <f t="shared" si="211"/>
        <v/>
      </c>
      <c r="PL39" s="4" t="str">
        <f t="shared" si="212"/>
        <v/>
      </c>
      <c r="PM39" s="4" t="str">
        <f t="shared" si="213"/>
        <v/>
      </c>
      <c r="PN39" s="4" t="str">
        <f t="shared" si="214"/>
        <v/>
      </c>
      <c r="PO39" s="4" t="str">
        <f t="shared" si="215"/>
        <v/>
      </c>
      <c r="PP39" s="4" t="str">
        <f t="shared" si="216"/>
        <v/>
      </c>
      <c r="PQ39" s="4" t="str">
        <f t="shared" si="217"/>
        <v/>
      </c>
      <c r="PR39" s="4" t="str">
        <f t="shared" si="218"/>
        <v/>
      </c>
      <c r="PS39" s="4" t="str">
        <f t="shared" si="219"/>
        <v/>
      </c>
    </row>
    <row r="40">
      <c r="HI40" s="4" t="str">
        <f t="shared" si="2"/>
        <v/>
      </c>
      <c r="HJ40" s="4" t="str">
        <f t="shared" si="3"/>
        <v/>
      </c>
      <c r="HK40" s="4" t="str">
        <f t="shared" si="4"/>
        <v/>
      </c>
      <c r="HL40" s="4" t="str">
        <f t="shared" si="5"/>
        <v/>
      </c>
      <c r="HM40" s="4" t="str">
        <f t="shared" si="6"/>
        <v/>
      </c>
      <c r="HN40" s="4" t="str">
        <f t="shared" si="7"/>
        <v/>
      </c>
      <c r="HO40" s="4" t="str">
        <f t="shared" si="8"/>
        <v/>
      </c>
      <c r="HP40" s="4" t="str">
        <f t="shared" si="9"/>
        <v/>
      </c>
      <c r="HQ40" s="4" t="str">
        <f t="shared" si="10"/>
        <v/>
      </c>
      <c r="HR40" s="4" t="str">
        <f t="shared" si="11"/>
        <v/>
      </c>
      <c r="HS40" s="4" t="str">
        <f t="shared" si="12"/>
        <v/>
      </c>
      <c r="HT40" s="4" t="str">
        <f t="shared" si="13"/>
        <v/>
      </c>
      <c r="HU40" s="4" t="str">
        <f t="shared" si="14"/>
        <v/>
      </c>
      <c r="HV40" s="4" t="str">
        <f t="shared" si="15"/>
        <v/>
      </c>
      <c r="HW40" s="4" t="str">
        <f t="shared" si="16"/>
        <v/>
      </c>
      <c r="HX40" s="4" t="str">
        <f t="shared" si="17"/>
        <v/>
      </c>
      <c r="HY40" s="4" t="str">
        <f t="shared" si="18"/>
        <v/>
      </c>
      <c r="HZ40" s="4" t="str">
        <f t="shared" si="19"/>
        <v/>
      </c>
      <c r="IA40" s="4" t="str">
        <f t="shared" si="20"/>
        <v/>
      </c>
      <c r="IB40" s="4" t="str">
        <f t="shared" si="21"/>
        <v/>
      </c>
      <c r="IC40" s="4" t="str">
        <f t="shared" si="22"/>
        <v/>
      </c>
      <c r="ID40" s="4" t="str">
        <f t="shared" si="23"/>
        <v/>
      </c>
      <c r="IE40" s="4" t="str">
        <f t="shared" si="24"/>
        <v/>
      </c>
      <c r="IF40" s="4" t="str">
        <f t="shared" si="25"/>
        <v/>
      </c>
      <c r="IG40" s="4" t="str">
        <f t="shared" si="26"/>
        <v/>
      </c>
      <c r="IH40" s="4" t="str">
        <f t="shared" si="27"/>
        <v/>
      </c>
      <c r="II40" s="4" t="str">
        <f t="shared" si="28"/>
        <v/>
      </c>
      <c r="IJ40" s="4" t="str">
        <f t="shared" si="29"/>
        <v/>
      </c>
      <c r="IK40" s="4" t="str">
        <f t="shared" si="30"/>
        <v/>
      </c>
      <c r="IL40" s="4" t="str">
        <f t="shared" si="31"/>
        <v/>
      </c>
      <c r="IM40" s="4" t="str">
        <f t="shared" si="32"/>
        <v/>
      </c>
      <c r="IN40" s="4" t="str">
        <f t="shared" si="33"/>
        <v/>
      </c>
      <c r="IO40" s="4" t="str">
        <f t="shared" si="34"/>
        <v/>
      </c>
      <c r="IP40" s="4" t="str">
        <f t="shared" si="35"/>
        <v/>
      </c>
      <c r="IQ40" s="4" t="str">
        <f t="shared" si="36"/>
        <v/>
      </c>
      <c r="IR40" s="4" t="str">
        <f t="shared" si="37"/>
        <v/>
      </c>
      <c r="IS40" s="4" t="str">
        <f t="shared" si="38"/>
        <v/>
      </c>
      <c r="IT40" s="4" t="str">
        <f t="shared" si="39"/>
        <v/>
      </c>
      <c r="IU40" s="4" t="str">
        <f t="shared" si="40"/>
        <v/>
      </c>
      <c r="IV40" s="4" t="str">
        <f t="shared" si="41"/>
        <v/>
      </c>
      <c r="IW40" s="4" t="str">
        <f t="shared" si="42"/>
        <v/>
      </c>
      <c r="IX40" s="4" t="str">
        <f t="shared" si="43"/>
        <v/>
      </c>
      <c r="IY40" s="4" t="str">
        <f t="shared" si="44"/>
        <v/>
      </c>
      <c r="IZ40" s="4" t="str">
        <f t="shared" si="45"/>
        <v/>
      </c>
      <c r="JA40" s="4" t="str">
        <f t="shared" ref="JA40:JB40" si="256">if(ISERROR(SEARCH("Higher Education",BB40)),"","810")</f>
        <v/>
      </c>
      <c r="JB40" s="4" t="str">
        <f t="shared" si="256"/>
        <v/>
      </c>
      <c r="JC40" s="4" t="str">
        <f t="shared" si="47"/>
        <v/>
      </c>
      <c r="JD40" s="4" t="str">
        <f t="shared" si="48"/>
        <v/>
      </c>
      <c r="JE40" s="4" t="str">
        <f t="shared" si="49"/>
        <v/>
      </c>
      <c r="JF40" s="4" t="str">
        <f t="shared" si="50"/>
        <v/>
      </c>
      <c r="JG40" s="4" t="str">
        <f t="shared" si="51"/>
        <v/>
      </c>
      <c r="JH40" s="4" t="str">
        <f t="shared" si="52"/>
        <v/>
      </c>
      <c r="JI40" s="4" t="str">
        <f t="shared" si="53"/>
        <v/>
      </c>
      <c r="JJ40" s="4" t="str">
        <f t="shared" si="54"/>
        <v/>
      </c>
      <c r="JK40" s="4" t="str">
        <f t="shared" si="55"/>
        <v/>
      </c>
      <c r="JL40" s="4" t="str">
        <f t="shared" si="56"/>
        <v/>
      </c>
      <c r="JM40" s="4" t="str">
        <f t="shared" si="57"/>
        <v/>
      </c>
      <c r="JN40" s="4" t="str">
        <f t="shared" si="58"/>
        <v/>
      </c>
      <c r="JO40" s="4" t="str">
        <f t="shared" si="59"/>
        <v/>
      </c>
      <c r="JP40" s="4" t="str">
        <f t="shared" si="60"/>
        <v/>
      </c>
      <c r="JQ40" s="4" t="str">
        <f t="shared" si="61"/>
        <v/>
      </c>
      <c r="JR40" s="4" t="str">
        <f t="shared" si="62"/>
        <v/>
      </c>
      <c r="JS40" s="4" t="str">
        <f t="shared" si="63"/>
        <v/>
      </c>
      <c r="JT40" s="4" t="str">
        <f t="shared" si="64"/>
        <v/>
      </c>
      <c r="JU40" s="4" t="str">
        <f t="shared" si="65"/>
        <v/>
      </c>
      <c r="JV40" s="4" t="str">
        <f t="shared" si="66"/>
        <v/>
      </c>
      <c r="JW40" s="4" t="str">
        <f t="shared" si="67"/>
        <v/>
      </c>
      <c r="JX40" s="4" t="str">
        <f t="shared" si="68"/>
        <v/>
      </c>
      <c r="JY40" s="4" t="str">
        <f t="shared" si="69"/>
        <v/>
      </c>
      <c r="JZ40" s="4" t="str">
        <f t="shared" si="70"/>
        <v/>
      </c>
      <c r="KA40" s="4" t="str">
        <f t="shared" si="71"/>
        <v/>
      </c>
      <c r="KB40" s="4" t="str">
        <f t="shared" si="72"/>
        <v/>
      </c>
      <c r="KC40" s="4" t="str">
        <f t="shared" si="73"/>
        <v/>
      </c>
      <c r="KD40" s="4" t="str">
        <f t="shared" si="74"/>
        <v/>
      </c>
      <c r="KE40" s="4" t="str">
        <f t="shared" si="75"/>
        <v/>
      </c>
      <c r="KF40" s="4" t="str">
        <f t="shared" si="76"/>
        <v/>
      </c>
      <c r="KG40" s="4" t="str">
        <f t="shared" si="77"/>
        <v/>
      </c>
      <c r="KH40" s="4" t="str">
        <f t="shared" si="78"/>
        <v/>
      </c>
      <c r="KI40" s="4" t="str">
        <f t="shared" si="79"/>
        <v/>
      </c>
      <c r="KJ40" s="4" t="str">
        <f t="shared" si="80"/>
        <v/>
      </c>
      <c r="KK40" s="4" t="str">
        <f t="shared" si="81"/>
        <v/>
      </c>
      <c r="KL40" s="4" t="str">
        <f t="shared" si="82"/>
        <v/>
      </c>
      <c r="KM40" s="4" t="str">
        <f t="shared" si="83"/>
        <v/>
      </c>
      <c r="KN40" s="4" t="str">
        <f t="shared" si="84"/>
        <v/>
      </c>
      <c r="KO40" s="4" t="str">
        <f t="shared" si="85"/>
        <v/>
      </c>
      <c r="KP40" s="4" t="str">
        <f t="shared" si="86"/>
        <v/>
      </c>
      <c r="KQ40" s="4" t="str">
        <f t="shared" si="87"/>
        <v/>
      </c>
      <c r="KR40" s="4" t="str">
        <f t="shared" si="88"/>
        <v/>
      </c>
      <c r="KS40" s="4" t="str">
        <f t="shared" si="89"/>
        <v/>
      </c>
      <c r="KT40" s="4" t="str">
        <f t="shared" si="90"/>
        <v/>
      </c>
      <c r="KU40" s="4" t="str">
        <f t="shared" si="91"/>
        <v/>
      </c>
      <c r="KV40" s="4" t="str">
        <f t="shared" si="92"/>
        <v/>
      </c>
      <c r="KW40" s="4" t="str">
        <f t="shared" si="93"/>
        <v/>
      </c>
      <c r="KX40" s="4" t="str">
        <f t="shared" si="94"/>
        <v/>
      </c>
      <c r="KY40" s="4" t="str">
        <f t="shared" si="95"/>
        <v/>
      </c>
      <c r="KZ40" s="4" t="str">
        <f t="shared" si="96"/>
        <v/>
      </c>
      <c r="LA40" s="4" t="str">
        <f t="shared" si="97"/>
        <v/>
      </c>
      <c r="LB40" s="4" t="str">
        <f t="shared" si="98"/>
        <v/>
      </c>
      <c r="LC40" s="4" t="str">
        <f t="shared" si="99"/>
        <v/>
      </c>
      <c r="LD40" s="4" t="str">
        <f t="shared" si="100"/>
        <v/>
      </c>
      <c r="LE40" s="4" t="str">
        <f t="shared" si="101"/>
        <v/>
      </c>
      <c r="LF40" s="4" t="str">
        <f t="shared" si="102"/>
        <v/>
      </c>
      <c r="LG40" s="4" t="str">
        <f t="shared" si="103"/>
        <v/>
      </c>
      <c r="LH40" s="4" t="str">
        <f t="shared" si="104"/>
        <v/>
      </c>
      <c r="LI40" s="4" t="str">
        <f t="shared" si="105"/>
        <v/>
      </c>
      <c r="LJ40" s="4" t="str">
        <f t="shared" si="106"/>
        <v/>
      </c>
      <c r="LK40" s="4" t="str">
        <f t="shared" si="107"/>
        <v/>
      </c>
      <c r="LL40" s="4" t="str">
        <f t="shared" si="108"/>
        <v/>
      </c>
      <c r="LM40" s="4" t="str">
        <f t="shared" si="109"/>
        <v/>
      </c>
      <c r="LN40" s="4" t="str">
        <f t="shared" si="110"/>
        <v/>
      </c>
      <c r="LO40" s="4" t="str">
        <f t="shared" si="111"/>
        <v/>
      </c>
      <c r="LP40" s="4" t="str">
        <f t="shared" si="112"/>
        <v/>
      </c>
      <c r="LQ40" s="4" t="str">
        <f t="shared" si="113"/>
        <v/>
      </c>
      <c r="LR40" s="4" t="str">
        <f t="shared" si="114"/>
        <v/>
      </c>
      <c r="LS40" s="4" t="str">
        <f t="shared" si="115"/>
        <v/>
      </c>
      <c r="LT40" s="4" t="str">
        <f t="shared" si="116"/>
        <v/>
      </c>
      <c r="LU40" s="4" t="str">
        <f t="shared" si="117"/>
        <v/>
      </c>
      <c r="LV40" s="4" t="str">
        <f t="shared" si="118"/>
        <v/>
      </c>
      <c r="LW40" s="4" t="str">
        <f t="shared" si="119"/>
        <v/>
      </c>
      <c r="LX40" s="4" t="str">
        <f t="shared" si="120"/>
        <v/>
      </c>
      <c r="LY40" s="4" t="str">
        <f t="shared" si="121"/>
        <v/>
      </c>
      <c r="LZ40" s="4" t="str">
        <f t="shared" si="122"/>
        <v/>
      </c>
      <c r="MA40" s="4" t="str">
        <f t="shared" si="123"/>
        <v/>
      </c>
      <c r="MB40" s="4" t="str">
        <f t="shared" si="124"/>
        <v/>
      </c>
      <c r="MC40" s="4" t="str">
        <f t="shared" si="125"/>
        <v/>
      </c>
      <c r="MD40" s="4" t="str">
        <f t="shared" si="126"/>
        <v/>
      </c>
      <c r="ME40" s="4" t="str">
        <f t="shared" si="127"/>
        <v/>
      </c>
      <c r="MF40" s="4" t="str">
        <f t="shared" si="128"/>
        <v/>
      </c>
      <c r="MG40" s="4" t="str">
        <f t="shared" si="129"/>
        <v/>
      </c>
      <c r="MH40" s="4" t="str">
        <f t="shared" si="130"/>
        <v/>
      </c>
      <c r="MI40" s="4" t="str">
        <f t="shared" si="131"/>
        <v/>
      </c>
      <c r="MJ40" s="4" t="str">
        <f t="shared" si="132"/>
        <v/>
      </c>
      <c r="MK40" s="4" t="str">
        <f t="shared" si="133"/>
        <v/>
      </c>
      <c r="ML40" s="4" t="str">
        <f t="shared" si="134"/>
        <v/>
      </c>
      <c r="MM40" s="4" t="str">
        <f t="shared" si="135"/>
        <v/>
      </c>
      <c r="MN40" s="4" t="str">
        <f t="shared" si="136"/>
        <v/>
      </c>
      <c r="MO40" s="4" t="str">
        <f t="shared" si="137"/>
        <v/>
      </c>
      <c r="MP40" s="4" t="str">
        <f t="shared" si="138"/>
        <v/>
      </c>
      <c r="MQ40" s="4" t="str">
        <f t="shared" si="139"/>
        <v/>
      </c>
      <c r="MR40" s="4" t="str">
        <f t="shared" si="140"/>
        <v/>
      </c>
      <c r="MS40" s="4" t="str">
        <f t="shared" si="141"/>
        <v/>
      </c>
      <c r="MT40" s="4" t="str">
        <f t="shared" si="142"/>
        <v/>
      </c>
      <c r="MU40" s="4" t="str">
        <f t="shared" si="143"/>
        <v/>
      </c>
      <c r="MV40" s="4" t="str">
        <f t="shared" si="144"/>
        <v/>
      </c>
      <c r="MW40" s="4" t="str">
        <f t="shared" si="145"/>
        <v/>
      </c>
      <c r="MX40" s="4" t="str">
        <f t="shared" si="146"/>
        <v/>
      </c>
      <c r="MY40" s="4" t="str">
        <f t="shared" si="147"/>
        <v/>
      </c>
      <c r="MZ40" s="4" t="str">
        <f t="shared" si="148"/>
        <v/>
      </c>
      <c r="NA40" s="4" t="str">
        <f t="shared" si="149"/>
        <v/>
      </c>
      <c r="NB40" s="4" t="str">
        <f t="shared" si="150"/>
        <v/>
      </c>
      <c r="NC40" s="4" t="str">
        <f t="shared" si="151"/>
        <v/>
      </c>
      <c r="ND40" s="4" t="str">
        <f t="shared" si="152"/>
        <v/>
      </c>
      <c r="NE40" s="4" t="str">
        <f t="shared" si="153"/>
        <v/>
      </c>
      <c r="NF40" s="4" t="str">
        <f t="shared" si="154"/>
        <v/>
      </c>
      <c r="NG40" s="4" t="str">
        <f t="shared" si="155"/>
        <v/>
      </c>
      <c r="NH40" s="4" t="str">
        <f t="shared" si="156"/>
        <v/>
      </c>
      <c r="NI40" s="4" t="str">
        <f t="shared" si="157"/>
        <v/>
      </c>
      <c r="NJ40" s="4" t="str">
        <f t="shared" si="158"/>
        <v/>
      </c>
      <c r="NK40" s="4" t="str">
        <f t="shared" si="159"/>
        <v/>
      </c>
      <c r="NL40" s="4" t="str">
        <f t="shared" si="160"/>
        <v/>
      </c>
      <c r="NM40" s="4" t="str">
        <f t="shared" si="161"/>
        <v/>
      </c>
      <c r="NN40" s="4" t="str">
        <f t="shared" si="162"/>
        <v/>
      </c>
      <c r="NO40" s="4" t="str">
        <f t="shared" si="163"/>
        <v/>
      </c>
      <c r="NP40" s="4" t="str">
        <f t="shared" si="164"/>
        <v/>
      </c>
      <c r="NQ40" s="4" t="str">
        <f t="shared" si="165"/>
        <v/>
      </c>
      <c r="NR40" s="4" t="str">
        <f t="shared" si="166"/>
        <v/>
      </c>
      <c r="NS40" s="4" t="str">
        <f t="shared" si="167"/>
        <v/>
      </c>
      <c r="NT40" s="4" t="str">
        <f t="shared" si="168"/>
        <v/>
      </c>
      <c r="NU40" s="4" t="str">
        <f t="shared" si="169"/>
        <v/>
      </c>
      <c r="NV40" s="4" t="str">
        <f t="shared" si="170"/>
        <v/>
      </c>
      <c r="NW40" s="4" t="str">
        <f t="shared" si="171"/>
        <v/>
      </c>
      <c r="NX40" s="4" t="str">
        <f t="shared" si="172"/>
        <v/>
      </c>
      <c r="NY40" s="4" t="str">
        <f t="shared" si="173"/>
        <v/>
      </c>
      <c r="NZ40" s="4" t="str">
        <f t="shared" si="174"/>
        <v/>
      </c>
      <c r="OA40" s="4" t="str">
        <f t="shared" si="175"/>
        <v/>
      </c>
      <c r="OB40" s="4" t="str">
        <f t="shared" si="176"/>
        <v/>
      </c>
      <c r="OC40" s="4" t="str">
        <f t="shared" si="177"/>
        <v/>
      </c>
      <c r="OD40" s="4" t="str">
        <f t="shared" si="178"/>
        <v/>
      </c>
      <c r="OE40" s="4" t="str">
        <f t="shared" si="179"/>
        <v/>
      </c>
      <c r="OF40" s="4" t="str">
        <f t="shared" si="180"/>
        <v/>
      </c>
      <c r="OG40" s="4" t="str">
        <f t="shared" si="181"/>
        <v/>
      </c>
      <c r="OH40" s="4" t="str">
        <f t="shared" si="182"/>
        <v/>
      </c>
      <c r="OI40" s="4" t="str">
        <f t="shared" si="183"/>
        <v/>
      </c>
      <c r="OJ40" s="4" t="str">
        <f t="shared" si="184"/>
        <v/>
      </c>
      <c r="OK40" s="4" t="str">
        <f t="shared" si="185"/>
        <v/>
      </c>
      <c r="OL40" s="4" t="str">
        <f t="shared" si="186"/>
        <v/>
      </c>
      <c r="OM40" s="4" t="str">
        <f t="shared" si="187"/>
        <v/>
      </c>
      <c r="ON40" s="4" t="str">
        <f t="shared" si="188"/>
        <v/>
      </c>
      <c r="OO40" s="4" t="str">
        <f t="shared" si="189"/>
        <v/>
      </c>
      <c r="OP40" s="4" t="str">
        <f t="shared" si="190"/>
        <v/>
      </c>
      <c r="OQ40" s="4" t="str">
        <f t="shared" si="191"/>
        <v/>
      </c>
      <c r="OR40" s="4" t="str">
        <f t="shared" si="192"/>
        <v/>
      </c>
      <c r="OS40" s="4" t="str">
        <f t="shared" si="193"/>
        <v/>
      </c>
      <c r="OT40" s="4" t="str">
        <f t="shared" si="194"/>
        <v/>
      </c>
      <c r="OU40" s="4" t="str">
        <f t="shared" si="195"/>
        <v/>
      </c>
      <c r="OV40" s="4" t="str">
        <f t="shared" si="196"/>
        <v/>
      </c>
      <c r="OW40" s="4" t="str">
        <f t="shared" si="197"/>
        <v/>
      </c>
      <c r="OX40" s="4" t="str">
        <f t="shared" si="198"/>
        <v/>
      </c>
      <c r="OY40" s="4" t="str">
        <f t="shared" si="199"/>
        <v/>
      </c>
      <c r="OZ40" s="4" t="str">
        <f t="shared" si="200"/>
        <v/>
      </c>
      <c r="PA40" s="4" t="str">
        <f t="shared" si="201"/>
        <v/>
      </c>
      <c r="PB40" s="4" t="str">
        <f t="shared" si="202"/>
        <v/>
      </c>
      <c r="PC40" s="4" t="str">
        <f t="shared" si="203"/>
        <v/>
      </c>
      <c r="PD40" s="4" t="str">
        <f t="shared" si="204"/>
        <v/>
      </c>
      <c r="PE40" s="4" t="str">
        <f t="shared" si="205"/>
        <v/>
      </c>
      <c r="PF40" s="4" t="str">
        <f t="shared" si="206"/>
        <v/>
      </c>
      <c r="PG40" s="4" t="str">
        <f t="shared" si="207"/>
        <v/>
      </c>
      <c r="PH40" s="4" t="str">
        <f t="shared" si="208"/>
        <v/>
      </c>
      <c r="PI40" s="4" t="str">
        <f t="shared" si="209"/>
        <v/>
      </c>
      <c r="PJ40" s="4" t="str">
        <f t="shared" si="210"/>
        <v/>
      </c>
      <c r="PK40" s="4" t="str">
        <f t="shared" si="211"/>
        <v/>
      </c>
      <c r="PL40" s="4" t="str">
        <f t="shared" si="212"/>
        <v/>
      </c>
      <c r="PM40" s="4" t="str">
        <f t="shared" si="213"/>
        <v/>
      </c>
      <c r="PN40" s="4" t="str">
        <f t="shared" si="214"/>
        <v/>
      </c>
      <c r="PO40" s="4" t="str">
        <f t="shared" si="215"/>
        <v/>
      </c>
      <c r="PP40" s="4" t="str">
        <f t="shared" si="216"/>
        <v/>
      </c>
      <c r="PQ40" s="4" t="str">
        <f t="shared" si="217"/>
        <v/>
      </c>
      <c r="PR40" s="4" t="str">
        <f t="shared" si="218"/>
        <v/>
      </c>
      <c r="PS40" s="4" t="str">
        <f t="shared" si="219"/>
        <v/>
      </c>
    </row>
    <row r="41">
      <c r="HI41" s="4" t="str">
        <f t="shared" si="2"/>
        <v/>
      </c>
      <c r="HJ41" s="4" t="str">
        <f t="shared" si="3"/>
        <v/>
      </c>
      <c r="HK41" s="4" t="str">
        <f t="shared" si="4"/>
        <v/>
      </c>
      <c r="HL41" s="4" t="str">
        <f t="shared" si="5"/>
        <v/>
      </c>
      <c r="HM41" s="4" t="str">
        <f t="shared" si="6"/>
        <v/>
      </c>
      <c r="HN41" s="4" t="str">
        <f t="shared" si="7"/>
        <v/>
      </c>
      <c r="HO41" s="4" t="str">
        <f t="shared" si="8"/>
        <v/>
      </c>
      <c r="HP41" s="4" t="str">
        <f t="shared" si="9"/>
        <v/>
      </c>
      <c r="HQ41" s="4" t="str">
        <f t="shared" si="10"/>
        <v/>
      </c>
      <c r="HR41" s="4" t="str">
        <f t="shared" si="11"/>
        <v/>
      </c>
      <c r="HS41" s="4" t="str">
        <f t="shared" si="12"/>
        <v/>
      </c>
      <c r="HT41" s="4" t="str">
        <f t="shared" si="13"/>
        <v/>
      </c>
      <c r="HU41" s="4" t="str">
        <f t="shared" si="14"/>
        <v/>
      </c>
      <c r="HV41" s="4" t="str">
        <f t="shared" si="15"/>
        <v/>
      </c>
      <c r="HW41" s="4" t="str">
        <f t="shared" si="16"/>
        <v/>
      </c>
      <c r="HX41" s="4" t="str">
        <f t="shared" si="17"/>
        <v/>
      </c>
      <c r="HY41" s="4" t="str">
        <f t="shared" si="18"/>
        <v/>
      </c>
      <c r="HZ41" s="4" t="str">
        <f t="shared" si="19"/>
        <v/>
      </c>
      <c r="IA41" s="4" t="str">
        <f t="shared" si="20"/>
        <v/>
      </c>
      <c r="IB41" s="4" t="str">
        <f t="shared" si="21"/>
        <v/>
      </c>
      <c r="IC41" s="4" t="str">
        <f t="shared" si="22"/>
        <v/>
      </c>
      <c r="ID41" s="4" t="str">
        <f t="shared" si="23"/>
        <v/>
      </c>
      <c r="IE41" s="4" t="str">
        <f t="shared" si="24"/>
        <v/>
      </c>
      <c r="IF41" s="4" t="str">
        <f t="shared" si="25"/>
        <v/>
      </c>
      <c r="IG41" s="4" t="str">
        <f t="shared" si="26"/>
        <v/>
      </c>
      <c r="IH41" s="4" t="str">
        <f t="shared" si="27"/>
        <v/>
      </c>
      <c r="II41" s="4" t="str">
        <f t="shared" si="28"/>
        <v/>
      </c>
      <c r="IJ41" s="4" t="str">
        <f t="shared" si="29"/>
        <v/>
      </c>
      <c r="IK41" s="4" t="str">
        <f t="shared" si="30"/>
        <v/>
      </c>
      <c r="IL41" s="4" t="str">
        <f t="shared" si="31"/>
        <v/>
      </c>
      <c r="IM41" s="4" t="str">
        <f t="shared" si="32"/>
        <v/>
      </c>
      <c r="IN41" s="4" t="str">
        <f t="shared" si="33"/>
        <v/>
      </c>
      <c r="IO41" s="4" t="str">
        <f t="shared" si="34"/>
        <v/>
      </c>
      <c r="IP41" s="4" t="str">
        <f t="shared" si="35"/>
        <v/>
      </c>
      <c r="IQ41" s="4" t="str">
        <f t="shared" si="36"/>
        <v/>
      </c>
      <c r="IR41" s="4" t="str">
        <f t="shared" si="37"/>
        <v/>
      </c>
      <c r="IS41" s="4" t="str">
        <f t="shared" si="38"/>
        <v/>
      </c>
      <c r="IT41" s="4" t="str">
        <f t="shared" si="39"/>
        <v/>
      </c>
      <c r="IU41" s="4" t="str">
        <f t="shared" si="40"/>
        <v/>
      </c>
      <c r="IV41" s="4" t="str">
        <f t="shared" si="41"/>
        <v/>
      </c>
      <c r="IW41" s="4" t="str">
        <f t="shared" si="42"/>
        <v/>
      </c>
      <c r="IX41" s="4" t="str">
        <f t="shared" si="43"/>
        <v/>
      </c>
      <c r="IY41" s="4" t="str">
        <f t="shared" si="44"/>
        <v/>
      </c>
      <c r="IZ41" s="4" t="str">
        <f t="shared" si="45"/>
        <v/>
      </c>
      <c r="JA41" s="4" t="str">
        <f t="shared" ref="JA41:JB41" si="257">if(ISERROR(SEARCH("Higher Education",BB41)),"","810")</f>
        <v/>
      </c>
      <c r="JB41" s="4" t="str">
        <f t="shared" si="257"/>
        <v/>
      </c>
      <c r="JC41" s="4" t="str">
        <f t="shared" si="47"/>
        <v/>
      </c>
      <c r="JD41" s="4" t="str">
        <f t="shared" si="48"/>
        <v/>
      </c>
      <c r="JE41" s="4" t="str">
        <f t="shared" si="49"/>
        <v/>
      </c>
      <c r="JF41" s="4" t="str">
        <f t="shared" si="50"/>
        <v/>
      </c>
      <c r="JG41" s="4" t="str">
        <f t="shared" si="51"/>
        <v/>
      </c>
      <c r="JH41" s="4" t="str">
        <f t="shared" si="52"/>
        <v/>
      </c>
      <c r="JI41" s="4" t="str">
        <f t="shared" si="53"/>
        <v/>
      </c>
      <c r="JJ41" s="4" t="str">
        <f t="shared" si="54"/>
        <v/>
      </c>
      <c r="JK41" s="4" t="str">
        <f t="shared" si="55"/>
        <v/>
      </c>
      <c r="JL41" s="4" t="str">
        <f t="shared" si="56"/>
        <v/>
      </c>
      <c r="JM41" s="4" t="str">
        <f t="shared" si="57"/>
        <v/>
      </c>
      <c r="JN41" s="4" t="str">
        <f t="shared" si="58"/>
        <v/>
      </c>
      <c r="JO41" s="4" t="str">
        <f t="shared" si="59"/>
        <v/>
      </c>
      <c r="JP41" s="4" t="str">
        <f t="shared" si="60"/>
        <v/>
      </c>
      <c r="JQ41" s="4" t="str">
        <f t="shared" si="61"/>
        <v/>
      </c>
      <c r="JR41" s="4" t="str">
        <f t="shared" si="62"/>
        <v/>
      </c>
      <c r="JS41" s="4" t="str">
        <f t="shared" si="63"/>
        <v/>
      </c>
      <c r="JT41" s="4" t="str">
        <f t="shared" si="64"/>
        <v/>
      </c>
      <c r="JU41" s="4" t="str">
        <f t="shared" si="65"/>
        <v/>
      </c>
      <c r="JV41" s="4" t="str">
        <f t="shared" si="66"/>
        <v/>
      </c>
      <c r="JW41" s="4" t="str">
        <f t="shared" si="67"/>
        <v/>
      </c>
      <c r="JX41" s="4" t="str">
        <f t="shared" si="68"/>
        <v/>
      </c>
      <c r="JY41" s="4" t="str">
        <f t="shared" si="69"/>
        <v/>
      </c>
      <c r="JZ41" s="4" t="str">
        <f t="shared" si="70"/>
        <v/>
      </c>
      <c r="KA41" s="4" t="str">
        <f t="shared" si="71"/>
        <v/>
      </c>
      <c r="KB41" s="4" t="str">
        <f t="shared" si="72"/>
        <v/>
      </c>
      <c r="KC41" s="4" t="str">
        <f t="shared" si="73"/>
        <v/>
      </c>
      <c r="KD41" s="4" t="str">
        <f t="shared" si="74"/>
        <v/>
      </c>
      <c r="KE41" s="4" t="str">
        <f t="shared" si="75"/>
        <v/>
      </c>
      <c r="KF41" s="4" t="str">
        <f t="shared" si="76"/>
        <v/>
      </c>
      <c r="KG41" s="4" t="str">
        <f t="shared" si="77"/>
        <v/>
      </c>
      <c r="KH41" s="4" t="str">
        <f t="shared" si="78"/>
        <v/>
      </c>
      <c r="KI41" s="4" t="str">
        <f t="shared" si="79"/>
        <v/>
      </c>
      <c r="KJ41" s="4" t="str">
        <f t="shared" si="80"/>
        <v/>
      </c>
      <c r="KK41" s="4" t="str">
        <f t="shared" si="81"/>
        <v/>
      </c>
      <c r="KL41" s="4" t="str">
        <f t="shared" si="82"/>
        <v/>
      </c>
      <c r="KM41" s="4" t="str">
        <f t="shared" si="83"/>
        <v/>
      </c>
      <c r="KN41" s="4" t="str">
        <f t="shared" si="84"/>
        <v/>
      </c>
      <c r="KO41" s="4" t="str">
        <f t="shared" si="85"/>
        <v/>
      </c>
      <c r="KP41" s="4" t="str">
        <f t="shared" si="86"/>
        <v/>
      </c>
      <c r="KQ41" s="4" t="str">
        <f t="shared" si="87"/>
        <v/>
      </c>
      <c r="KR41" s="4" t="str">
        <f t="shared" si="88"/>
        <v/>
      </c>
      <c r="KS41" s="4" t="str">
        <f t="shared" si="89"/>
        <v/>
      </c>
      <c r="KT41" s="4" t="str">
        <f t="shared" si="90"/>
        <v/>
      </c>
      <c r="KU41" s="4" t="str">
        <f t="shared" si="91"/>
        <v/>
      </c>
      <c r="KV41" s="4" t="str">
        <f t="shared" si="92"/>
        <v/>
      </c>
      <c r="KW41" s="4" t="str">
        <f t="shared" si="93"/>
        <v/>
      </c>
      <c r="KX41" s="4" t="str">
        <f t="shared" si="94"/>
        <v/>
      </c>
      <c r="KY41" s="4" t="str">
        <f t="shared" si="95"/>
        <v/>
      </c>
      <c r="KZ41" s="4" t="str">
        <f t="shared" si="96"/>
        <v/>
      </c>
      <c r="LA41" s="4" t="str">
        <f t="shared" si="97"/>
        <v/>
      </c>
      <c r="LB41" s="4" t="str">
        <f t="shared" si="98"/>
        <v/>
      </c>
      <c r="LC41" s="4" t="str">
        <f t="shared" si="99"/>
        <v/>
      </c>
      <c r="LD41" s="4" t="str">
        <f t="shared" si="100"/>
        <v/>
      </c>
      <c r="LE41" s="4" t="str">
        <f t="shared" si="101"/>
        <v/>
      </c>
      <c r="LF41" s="4" t="str">
        <f t="shared" si="102"/>
        <v/>
      </c>
      <c r="LG41" s="4" t="str">
        <f t="shared" si="103"/>
        <v/>
      </c>
      <c r="LH41" s="4" t="str">
        <f t="shared" si="104"/>
        <v/>
      </c>
      <c r="LI41" s="4" t="str">
        <f t="shared" si="105"/>
        <v/>
      </c>
      <c r="LJ41" s="4" t="str">
        <f t="shared" si="106"/>
        <v/>
      </c>
      <c r="LK41" s="4" t="str">
        <f t="shared" si="107"/>
        <v/>
      </c>
      <c r="LL41" s="4" t="str">
        <f t="shared" si="108"/>
        <v/>
      </c>
      <c r="LM41" s="4" t="str">
        <f t="shared" si="109"/>
        <v/>
      </c>
      <c r="LN41" s="4" t="str">
        <f t="shared" si="110"/>
        <v/>
      </c>
      <c r="LO41" s="4" t="str">
        <f t="shared" si="111"/>
        <v/>
      </c>
      <c r="LP41" s="4" t="str">
        <f t="shared" si="112"/>
        <v/>
      </c>
      <c r="LQ41" s="4" t="str">
        <f t="shared" si="113"/>
        <v/>
      </c>
      <c r="LR41" s="4" t="str">
        <f t="shared" si="114"/>
        <v/>
      </c>
      <c r="LS41" s="4" t="str">
        <f t="shared" si="115"/>
        <v/>
      </c>
      <c r="LT41" s="4" t="str">
        <f t="shared" si="116"/>
        <v/>
      </c>
      <c r="LU41" s="4" t="str">
        <f t="shared" si="117"/>
        <v/>
      </c>
      <c r="LV41" s="4" t="str">
        <f t="shared" si="118"/>
        <v/>
      </c>
      <c r="LW41" s="4" t="str">
        <f t="shared" si="119"/>
        <v/>
      </c>
      <c r="LX41" s="4" t="str">
        <f t="shared" si="120"/>
        <v/>
      </c>
      <c r="LY41" s="4" t="str">
        <f t="shared" si="121"/>
        <v/>
      </c>
      <c r="LZ41" s="4" t="str">
        <f t="shared" si="122"/>
        <v/>
      </c>
      <c r="MA41" s="4" t="str">
        <f t="shared" si="123"/>
        <v/>
      </c>
      <c r="MB41" s="4" t="str">
        <f t="shared" si="124"/>
        <v/>
      </c>
      <c r="MC41" s="4" t="str">
        <f t="shared" si="125"/>
        <v/>
      </c>
      <c r="MD41" s="4" t="str">
        <f t="shared" si="126"/>
        <v/>
      </c>
      <c r="ME41" s="4" t="str">
        <f t="shared" si="127"/>
        <v/>
      </c>
      <c r="MF41" s="4" t="str">
        <f t="shared" si="128"/>
        <v/>
      </c>
      <c r="MG41" s="4" t="str">
        <f t="shared" si="129"/>
        <v/>
      </c>
      <c r="MH41" s="4" t="str">
        <f t="shared" si="130"/>
        <v/>
      </c>
      <c r="MI41" s="4" t="str">
        <f t="shared" si="131"/>
        <v/>
      </c>
      <c r="MJ41" s="4" t="str">
        <f t="shared" si="132"/>
        <v/>
      </c>
      <c r="MK41" s="4" t="str">
        <f t="shared" si="133"/>
        <v/>
      </c>
      <c r="ML41" s="4" t="str">
        <f t="shared" si="134"/>
        <v/>
      </c>
      <c r="MM41" s="4" t="str">
        <f t="shared" si="135"/>
        <v/>
      </c>
      <c r="MN41" s="4" t="str">
        <f t="shared" si="136"/>
        <v/>
      </c>
      <c r="MO41" s="4" t="str">
        <f t="shared" si="137"/>
        <v/>
      </c>
      <c r="MP41" s="4" t="str">
        <f t="shared" si="138"/>
        <v/>
      </c>
      <c r="MQ41" s="4" t="str">
        <f t="shared" si="139"/>
        <v/>
      </c>
      <c r="MR41" s="4" t="str">
        <f t="shared" si="140"/>
        <v/>
      </c>
      <c r="MS41" s="4" t="str">
        <f t="shared" si="141"/>
        <v/>
      </c>
      <c r="MT41" s="4" t="str">
        <f t="shared" si="142"/>
        <v/>
      </c>
      <c r="MU41" s="4" t="str">
        <f t="shared" si="143"/>
        <v/>
      </c>
      <c r="MV41" s="4" t="str">
        <f t="shared" si="144"/>
        <v/>
      </c>
      <c r="MW41" s="4" t="str">
        <f t="shared" si="145"/>
        <v/>
      </c>
      <c r="MX41" s="4" t="str">
        <f t="shared" si="146"/>
        <v/>
      </c>
      <c r="MY41" s="4" t="str">
        <f t="shared" si="147"/>
        <v/>
      </c>
      <c r="MZ41" s="4" t="str">
        <f t="shared" si="148"/>
        <v/>
      </c>
      <c r="NA41" s="4" t="str">
        <f t="shared" si="149"/>
        <v/>
      </c>
      <c r="NB41" s="4" t="str">
        <f t="shared" si="150"/>
        <v/>
      </c>
      <c r="NC41" s="4" t="str">
        <f t="shared" si="151"/>
        <v/>
      </c>
      <c r="ND41" s="4" t="str">
        <f t="shared" si="152"/>
        <v/>
      </c>
      <c r="NE41" s="4" t="str">
        <f t="shared" si="153"/>
        <v/>
      </c>
      <c r="NF41" s="4" t="str">
        <f t="shared" si="154"/>
        <v/>
      </c>
      <c r="NG41" s="4" t="str">
        <f t="shared" si="155"/>
        <v/>
      </c>
      <c r="NH41" s="4" t="str">
        <f t="shared" si="156"/>
        <v/>
      </c>
      <c r="NI41" s="4" t="str">
        <f t="shared" si="157"/>
        <v/>
      </c>
      <c r="NJ41" s="4" t="str">
        <f t="shared" si="158"/>
        <v/>
      </c>
      <c r="NK41" s="4" t="str">
        <f t="shared" si="159"/>
        <v/>
      </c>
      <c r="NL41" s="4" t="str">
        <f t="shared" si="160"/>
        <v/>
      </c>
      <c r="NM41" s="4" t="str">
        <f t="shared" si="161"/>
        <v/>
      </c>
      <c r="NN41" s="4" t="str">
        <f t="shared" si="162"/>
        <v/>
      </c>
      <c r="NO41" s="4" t="str">
        <f t="shared" si="163"/>
        <v/>
      </c>
      <c r="NP41" s="4" t="str">
        <f t="shared" si="164"/>
        <v/>
      </c>
      <c r="NQ41" s="4" t="str">
        <f t="shared" si="165"/>
        <v/>
      </c>
      <c r="NR41" s="4" t="str">
        <f t="shared" si="166"/>
        <v/>
      </c>
      <c r="NS41" s="4" t="str">
        <f t="shared" si="167"/>
        <v/>
      </c>
      <c r="NT41" s="4" t="str">
        <f t="shared" si="168"/>
        <v/>
      </c>
      <c r="NU41" s="4" t="str">
        <f t="shared" si="169"/>
        <v/>
      </c>
      <c r="NV41" s="4" t="str">
        <f t="shared" si="170"/>
        <v/>
      </c>
      <c r="NW41" s="4" t="str">
        <f t="shared" si="171"/>
        <v/>
      </c>
      <c r="NX41" s="4" t="str">
        <f t="shared" si="172"/>
        <v/>
      </c>
      <c r="NY41" s="4" t="str">
        <f t="shared" si="173"/>
        <v/>
      </c>
      <c r="NZ41" s="4" t="str">
        <f t="shared" si="174"/>
        <v/>
      </c>
      <c r="OA41" s="4" t="str">
        <f t="shared" si="175"/>
        <v/>
      </c>
      <c r="OB41" s="4" t="str">
        <f t="shared" si="176"/>
        <v/>
      </c>
      <c r="OC41" s="4" t="str">
        <f t="shared" si="177"/>
        <v/>
      </c>
      <c r="OD41" s="4" t="str">
        <f t="shared" si="178"/>
        <v/>
      </c>
      <c r="OE41" s="4" t="str">
        <f t="shared" si="179"/>
        <v/>
      </c>
      <c r="OF41" s="4" t="str">
        <f t="shared" si="180"/>
        <v/>
      </c>
      <c r="OG41" s="4" t="str">
        <f t="shared" si="181"/>
        <v/>
      </c>
      <c r="OH41" s="4" t="str">
        <f t="shared" si="182"/>
        <v/>
      </c>
      <c r="OI41" s="4" t="str">
        <f t="shared" si="183"/>
        <v/>
      </c>
      <c r="OJ41" s="4" t="str">
        <f t="shared" si="184"/>
        <v/>
      </c>
      <c r="OK41" s="4" t="str">
        <f t="shared" si="185"/>
        <v/>
      </c>
      <c r="OL41" s="4" t="str">
        <f t="shared" si="186"/>
        <v/>
      </c>
      <c r="OM41" s="4" t="str">
        <f t="shared" si="187"/>
        <v/>
      </c>
      <c r="ON41" s="4" t="str">
        <f t="shared" si="188"/>
        <v/>
      </c>
      <c r="OO41" s="4" t="str">
        <f t="shared" si="189"/>
        <v/>
      </c>
      <c r="OP41" s="4" t="str">
        <f t="shared" si="190"/>
        <v/>
      </c>
      <c r="OQ41" s="4" t="str">
        <f t="shared" si="191"/>
        <v/>
      </c>
      <c r="OR41" s="4" t="str">
        <f t="shared" si="192"/>
        <v/>
      </c>
      <c r="OS41" s="4" t="str">
        <f t="shared" si="193"/>
        <v/>
      </c>
      <c r="OT41" s="4" t="str">
        <f t="shared" si="194"/>
        <v/>
      </c>
      <c r="OU41" s="4" t="str">
        <f t="shared" si="195"/>
        <v/>
      </c>
      <c r="OV41" s="4" t="str">
        <f t="shared" si="196"/>
        <v/>
      </c>
      <c r="OW41" s="4" t="str">
        <f t="shared" si="197"/>
        <v/>
      </c>
      <c r="OX41" s="4" t="str">
        <f t="shared" si="198"/>
        <v/>
      </c>
      <c r="OY41" s="4" t="str">
        <f t="shared" si="199"/>
        <v/>
      </c>
      <c r="OZ41" s="4" t="str">
        <f t="shared" si="200"/>
        <v/>
      </c>
      <c r="PA41" s="4" t="str">
        <f t="shared" si="201"/>
        <v/>
      </c>
      <c r="PB41" s="4" t="str">
        <f t="shared" si="202"/>
        <v/>
      </c>
      <c r="PC41" s="4" t="str">
        <f t="shared" si="203"/>
        <v/>
      </c>
      <c r="PD41" s="4" t="str">
        <f t="shared" si="204"/>
        <v/>
      </c>
      <c r="PE41" s="4" t="str">
        <f t="shared" si="205"/>
        <v/>
      </c>
      <c r="PF41" s="4" t="str">
        <f t="shared" si="206"/>
        <v/>
      </c>
      <c r="PG41" s="4" t="str">
        <f t="shared" si="207"/>
        <v/>
      </c>
      <c r="PH41" s="4" t="str">
        <f t="shared" si="208"/>
        <v/>
      </c>
      <c r="PI41" s="4" t="str">
        <f t="shared" si="209"/>
        <v/>
      </c>
      <c r="PJ41" s="4" t="str">
        <f t="shared" si="210"/>
        <v/>
      </c>
      <c r="PK41" s="4" t="str">
        <f t="shared" si="211"/>
        <v/>
      </c>
      <c r="PL41" s="4" t="str">
        <f t="shared" si="212"/>
        <v/>
      </c>
      <c r="PM41" s="4" t="str">
        <f t="shared" si="213"/>
        <v/>
      </c>
      <c r="PN41" s="4" t="str">
        <f t="shared" si="214"/>
        <v/>
      </c>
      <c r="PO41" s="4" t="str">
        <f t="shared" si="215"/>
        <v/>
      </c>
      <c r="PP41" s="4" t="str">
        <f t="shared" si="216"/>
        <v/>
      </c>
      <c r="PQ41" s="4" t="str">
        <f t="shared" si="217"/>
        <v/>
      </c>
      <c r="PR41" s="4" t="str">
        <f t="shared" si="218"/>
        <v/>
      </c>
      <c r="PS41" s="4" t="str">
        <f t="shared" si="219"/>
        <v/>
      </c>
    </row>
    <row r="42">
      <c r="HI42" s="4" t="str">
        <f t="shared" si="2"/>
        <v/>
      </c>
      <c r="HJ42" s="4" t="str">
        <f t="shared" si="3"/>
        <v/>
      </c>
      <c r="HK42" s="4" t="str">
        <f t="shared" si="4"/>
        <v/>
      </c>
      <c r="HL42" s="4" t="str">
        <f t="shared" si="5"/>
        <v/>
      </c>
      <c r="HM42" s="4" t="str">
        <f t="shared" si="6"/>
        <v/>
      </c>
      <c r="HN42" s="4" t="str">
        <f t="shared" si="7"/>
        <v/>
      </c>
      <c r="HO42" s="4" t="str">
        <f t="shared" si="8"/>
        <v/>
      </c>
      <c r="HP42" s="4" t="str">
        <f t="shared" si="9"/>
        <v/>
      </c>
      <c r="HQ42" s="4" t="str">
        <f t="shared" si="10"/>
        <v/>
      </c>
      <c r="HR42" s="4" t="str">
        <f t="shared" si="11"/>
        <v/>
      </c>
      <c r="HS42" s="4" t="str">
        <f t="shared" si="12"/>
        <v/>
      </c>
      <c r="HT42" s="4" t="str">
        <f t="shared" si="13"/>
        <v/>
      </c>
      <c r="HU42" s="4" t="str">
        <f t="shared" si="14"/>
        <v/>
      </c>
      <c r="HV42" s="4" t="str">
        <f t="shared" si="15"/>
        <v/>
      </c>
      <c r="HW42" s="4" t="str">
        <f t="shared" si="16"/>
        <v/>
      </c>
      <c r="HX42" s="4" t="str">
        <f t="shared" si="17"/>
        <v/>
      </c>
      <c r="HY42" s="4" t="str">
        <f t="shared" si="18"/>
        <v/>
      </c>
      <c r="HZ42" s="4" t="str">
        <f t="shared" si="19"/>
        <v/>
      </c>
      <c r="IA42" s="4" t="str">
        <f t="shared" si="20"/>
        <v/>
      </c>
      <c r="IB42" s="4" t="str">
        <f t="shared" si="21"/>
        <v/>
      </c>
      <c r="IC42" s="4" t="str">
        <f t="shared" si="22"/>
        <v/>
      </c>
      <c r="ID42" s="4" t="str">
        <f t="shared" si="23"/>
        <v/>
      </c>
      <c r="IE42" s="4" t="str">
        <f t="shared" si="24"/>
        <v/>
      </c>
      <c r="IF42" s="4" t="str">
        <f t="shared" si="25"/>
        <v/>
      </c>
      <c r="IG42" s="4" t="str">
        <f t="shared" si="26"/>
        <v/>
      </c>
      <c r="IH42" s="4" t="str">
        <f t="shared" si="27"/>
        <v/>
      </c>
      <c r="II42" s="4" t="str">
        <f t="shared" si="28"/>
        <v/>
      </c>
      <c r="IJ42" s="4" t="str">
        <f t="shared" si="29"/>
        <v/>
      </c>
      <c r="IK42" s="4" t="str">
        <f t="shared" si="30"/>
        <v/>
      </c>
      <c r="IL42" s="4" t="str">
        <f t="shared" si="31"/>
        <v/>
      </c>
      <c r="IM42" s="4" t="str">
        <f t="shared" si="32"/>
        <v/>
      </c>
      <c r="IN42" s="4" t="str">
        <f t="shared" si="33"/>
        <v/>
      </c>
      <c r="IO42" s="4" t="str">
        <f t="shared" si="34"/>
        <v/>
      </c>
      <c r="IP42" s="4" t="str">
        <f t="shared" si="35"/>
        <v/>
      </c>
      <c r="IQ42" s="4" t="str">
        <f t="shared" si="36"/>
        <v/>
      </c>
      <c r="IR42" s="4" t="str">
        <f t="shared" si="37"/>
        <v/>
      </c>
      <c r="IS42" s="4" t="str">
        <f t="shared" si="38"/>
        <v/>
      </c>
      <c r="IT42" s="4" t="str">
        <f t="shared" si="39"/>
        <v/>
      </c>
      <c r="IU42" s="4" t="str">
        <f t="shared" si="40"/>
        <v/>
      </c>
      <c r="IV42" s="4" t="str">
        <f t="shared" si="41"/>
        <v/>
      </c>
      <c r="IW42" s="4" t="str">
        <f t="shared" si="42"/>
        <v/>
      </c>
      <c r="IX42" s="4" t="str">
        <f t="shared" si="43"/>
        <v/>
      </c>
      <c r="IY42" s="4" t="str">
        <f t="shared" si="44"/>
        <v/>
      </c>
      <c r="IZ42" s="4" t="str">
        <f t="shared" si="45"/>
        <v/>
      </c>
      <c r="JA42" s="4" t="str">
        <f t="shared" ref="JA42:JB42" si="258">if(ISERROR(SEARCH("Higher Education",BB42)),"","810")</f>
        <v/>
      </c>
      <c r="JB42" s="4" t="str">
        <f t="shared" si="258"/>
        <v/>
      </c>
      <c r="JC42" s="4" t="str">
        <f t="shared" si="47"/>
        <v/>
      </c>
      <c r="JD42" s="4" t="str">
        <f t="shared" si="48"/>
        <v/>
      </c>
      <c r="JE42" s="4" t="str">
        <f t="shared" si="49"/>
        <v/>
      </c>
      <c r="JF42" s="4" t="str">
        <f t="shared" si="50"/>
        <v/>
      </c>
      <c r="JG42" s="4" t="str">
        <f t="shared" si="51"/>
        <v/>
      </c>
      <c r="JH42" s="4" t="str">
        <f t="shared" si="52"/>
        <v/>
      </c>
      <c r="JI42" s="4" t="str">
        <f t="shared" si="53"/>
        <v/>
      </c>
      <c r="JJ42" s="4" t="str">
        <f t="shared" si="54"/>
        <v/>
      </c>
      <c r="JK42" s="4" t="str">
        <f t="shared" si="55"/>
        <v/>
      </c>
      <c r="JL42" s="4" t="str">
        <f t="shared" si="56"/>
        <v/>
      </c>
      <c r="JM42" s="4" t="str">
        <f t="shared" si="57"/>
        <v/>
      </c>
      <c r="JN42" s="4" t="str">
        <f t="shared" si="58"/>
        <v/>
      </c>
      <c r="JO42" s="4" t="str">
        <f t="shared" si="59"/>
        <v/>
      </c>
      <c r="JP42" s="4" t="str">
        <f t="shared" si="60"/>
        <v/>
      </c>
      <c r="JQ42" s="4" t="str">
        <f t="shared" si="61"/>
        <v/>
      </c>
      <c r="JR42" s="4" t="str">
        <f t="shared" si="62"/>
        <v/>
      </c>
      <c r="JS42" s="4" t="str">
        <f t="shared" si="63"/>
        <v/>
      </c>
      <c r="JT42" s="4" t="str">
        <f t="shared" si="64"/>
        <v/>
      </c>
      <c r="JU42" s="4" t="str">
        <f t="shared" si="65"/>
        <v/>
      </c>
      <c r="JV42" s="4" t="str">
        <f t="shared" si="66"/>
        <v/>
      </c>
      <c r="JW42" s="4" t="str">
        <f t="shared" si="67"/>
        <v/>
      </c>
      <c r="JX42" s="4" t="str">
        <f t="shared" si="68"/>
        <v/>
      </c>
      <c r="JY42" s="4" t="str">
        <f t="shared" si="69"/>
        <v/>
      </c>
      <c r="JZ42" s="4" t="str">
        <f t="shared" si="70"/>
        <v/>
      </c>
      <c r="KA42" s="4" t="str">
        <f t="shared" si="71"/>
        <v/>
      </c>
      <c r="KB42" s="4" t="str">
        <f t="shared" si="72"/>
        <v/>
      </c>
      <c r="KC42" s="4" t="str">
        <f t="shared" si="73"/>
        <v/>
      </c>
      <c r="KD42" s="4" t="str">
        <f t="shared" si="74"/>
        <v/>
      </c>
      <c r="KE42" s="4" t="str">
        <f t="shared" si="75"/>
        <v/>
      </c>
      <c r="KF42" s="4" t="str">
        <f t="shared" si="76"/>
        <v/>
      </c>
      <c r="KG42" s="4" t="str">
        <f t="shared" si="77"/>
        <v/>
      </c>
      <c r="KH42" s="4" t="str">
        <f t="shared" si="78"/>
        <v/>
      </c>
      <c r="KI42" s="4" t="str">
        <f t="shared" si="79"/>
        <v/>
      </c>
      <c r="KJ42" s="4" t="str">
        <f t="shared" si="80"/>
        <v/>
      </c>
      <c r="KK42" s="4" t="str">
        <f t="shared" si="81"/>
        <v/>
      </c>
      <c r="KL42" s="4" t="str">
        <f t="shared" si="82"/>
        <v/>
      </c>
      <c r="KM42" s="4" t="str">
        <f t="shared" si="83"/>
        <v/>
      </c>
      <c r="KN42" s="4" t="str">
        <f t="shared" si="84"/>
        <v/>
      </c>
      <c r="KO42" s="4" t="str">
        <f t="shared" si="85"/>
        <v/>
      </c>
      <c r="KP42" s="4" t="str">
        <f t="shared" si="86"/>
        <v/>
      </c>
      <c r="KQ42" s="4" t="str">
        <f t="shared" si="87"/>
        <v/>
      </c>
      <c r="KR42" s="4" t="str">
        <f t="shared" si="88"/>
        <v/>
      </c>
      <c r="KS42" s="4" t="str">
        <f t="shared" si="89"/>
        <v/>
      </c>
      <c r="KT42" s="4" t="str">
        <f t="shared" si="90"/>
        <v/>
      </c>
      <c r="KU42" s="4" t="str">
        <f t="shared" si="91"/>
        <v/>
      </c>
      <c r="KV42" s="4" t="str">
        <f t="shared" si="92"/>
        <v/>
      </c>
      <c r="KW42" s="4" t="str">
        <f t="shared" si="93"/>
        <v/>
      </c>
      <c r="KX42" s="4" t="str">
        <f t="shared" si="94"/>
        <v/>
      </c>
      <c r="KY42" s="4" t="str">
        <f t="shared" si="95"/>
        <v/>
      </c>
      <c r="KZ42" s="4" t="str">
        <f t="shared" si="96"/>
        <v/>
      </c>
      <c r="LA42" s="4" t="str">
        <f t="shared" si="97"/>
        <v/>
      </c>
      <c r="LB42" s="4" t="str">
        <f t="shared" si="98"/>
        <v/>
      </c>
      <c r="LC42" s="4" t="str">
        <f t="shared" si="99"/>
        <v/>
      </c>
      <c r="LD42" s="4" t="str">
        <f t="shared" si="100"/>
        <v/>
      </c>
      <c r="LE42" s="4" t="str">
        <f t="shared" si="101"/>
        <v/>
      </c>
      <c r="LF42" s="4" t="str">
        <f t="shared" si="102"/>
        <v/>
      </c>
      <c r="LG42" s="4" t="str">
        <f t="shared" si="103"/>
        <v/>
      </c>
      <c r="LH42" s="4" t="str">
        <f t="shared" si="104"/>
        <v/>
      </c>
      <c r="LI42" s="4" t="str">
        <f t="shared" si="105"/>
        <v/>
      </c>
      <c r="LJ42" s="4" t="str">
        <f t="shared" si="106"/>
        <v/>
      </c>
      <c r="LK42" s="4" t="str">
        <f t="shared" si="107"/>
        <v/>
      </c>
      <c r="LL42" s="4" t="str">
        <f t="shared" si="108"/>
        <v/>
      </c>
      <c r="LM42" s="4" t="str">
        <f t="shared" si="109"/>
        <v/>
      </c>
      <c r="LN42" s="4" t="str">
        <f t="shared" si="110"/>
        <v/>
      </c>
      <c r="LO42" s="4" t="str">
        <f t="shared" si="111"/>
        <v/>
      </c>
      <c r="LP42" s="4" t="str">
        <f t="shared" si="112"/>
        <v/>
      </c>
      <c r="LQ42" s="4" t="str">
        <f t="shared" si="113"/>
        <v/>
      </c>
      <c r="LR42" s="4" t="str">
        <f t="shared" si="114"/>
        <v/>
      </c>
      <c r="LS42" s="4" t="str">
        <f t="shared" si="115"/>
        <v/>
      </c>
      <c r="LT42" s="4" t="str">
        <f t="shared" si="116"/>
        <v/>
      </c>
      <c r="LU42" s="4" t="str">
        <f t="shared" si="117"/>
        <v/>
      </c>
      <c r="LV42" s="4" t="str">
        <f t="shared" si="118"/>
        <v/>
      </c>
      <c r="LW42" s="4" t="str">
        <f t="shared" si="119"/>
        <v/>
      </c>
      <c r="LX42" s="4" t="str">
        <f t="shared" si="120"/>
        <v/>
      </c>
      <c r="LY42" s="4" t="str">
        <f t="shared" si="121"/>
        <v/>
      </c>
      <c r="LZ42" s="4" t="str">
        <f t="shared" si="122"/>
        <v/>
      </c>
      <c r="MA42" s="4" t="str">
        <f t="shared" si="123"/>
        <v/>
      </c>
      <c r="MB42" s="4" t="str">
        <f t="shared" si="124"/>
        <v/>
      </c>
      <c r="MC42" s="4" t="str">
        <f t="shared" si="125"/>
        <v/>
      </c>
      <c r="MD42" s="4" t="str">
        <f t="shared" si="126"/>
        <v/>
      </c>
      <c r="ME42" s="4" t="str">
        <f t="shared" si="127"/>
        <v/>
      </c>
      <c r="MF42" s="4" t="str">
        <f t="shared" si="128"/>
        <v/>
      </c>
      <c r="MG42" s="4" t="str">
        <f t="shared" si="129"/>
        <v/>
      </c>
      <c r="MH42" s="4" t="str">
        <f t="shared" si="130"/>
        <v/>
      </c>
      <c r="MI42" s="4" t="str">
        <f t="shared" si="131"/>
        <v/>
      </c>
      <c r="MJ42" s="4" t="str">
        <f t="shared" si="132"/>
        <v/>
      </c>
      <c r="MK42" s="4" t="str">
        <f t="shared" si="133"/>
        <v/>
      </c>
      <c r="ML42" s="4" t="str">
        <f t="shared" si="134"/>
        <v/>
      </c>
      <c r="MM42" s="4" t="str">
        <f t="shared" si="135"/>
        <v/>
      </c>
      <c r="MN42" s="4" t="str">
        <f t="shared" si="136"/>
        <v/>
      </c>
      <c r="MO42" s="4" t="str">
        <f t="shared" si="137"/>
        <v/>
      </c>
      <c r="MP42" s="4" t="str">
        <f t="shared" si="138"/>
        <v/>
      </c>
      <c r="MQ42" s="4" t="str">
        <f t="shared" si="139"/>
        <v/>
      </c>
      <c r="MR42" s="4" t="str">
        <f t="shared" si="140"/>
        <v/>
      </c>
      <c r="MS42" s="4" t="str">
        <f t="shared" si="141"/>
        <v/>
      </c>
      <c r="MT42" s="4" t="str">
        <f t="shared" si="142"/>
        <v/>
      </c>
      <c r="MU42" s="4" t="str">
        <f t="shared" si="143"/>
        <v/>
      </c>
      <c r="MV42" s="4" t="str">
        <f t="shared" si="144"/>
        <v/>
      </c>
      <c r="MW42" s="4" t="str">
        <f t="shared" si="145"/>
        <v/>
      </c>
      <c r="MX42" s="4" t="str">
        <f t="shared" si="146"/>
        <v/>
      </c>
      <c r="MY42" s="4" t="str">
        <f t="shared" si="147"/>
        <v/>
      </c>
      <c r="MZ42" s="4" t="str">
        <f t="shared" si="148"/>
        <v/>
      </c>
      <c r="NA42" s="4" t="str">
        <f t="shared" si="149"/>
        <v/>
      </c>
      <c r="NB42" s="4" t="str">
        <f t="shared" si="150"/>
        <v/>
      </c>
      <c r="NC42" s="4" t="str">
        <f t="shared" si="151"/>
        <v/>
      </c>
      <c r="ND42" s="4" t="str">
        <f t="shared" si="152"/>
        <v/>
      </c>
      <c r="NE42" s="4" t="str">
        <f t="shared" si="153"/>
        <v/>
      </c>
      <c r="NF42" s="4" t="str">
        <f t="shared" si="154"/>
        <v/>
      </c>
      <c r="NG42" s="4" t="str">
        <f t="shared" si="155"/>
        <v/>
      </c>
      <c r="NH42" s="4" t="str">
        <f t="shared" si="156"/>
        <v/>
      </c>
      <c r="NI42" s="4" t="str">
        <f t="shared" si="157"/>
        <v/>
      </c>
      <c r="NJ42" s="4" t="str">
        <f t="shared" si="158"/>
        <v/>
      </c>
      <c r="NK42" s="4" t="str">
        <f t="shared" si="159"/>
        <v/>
      </c>
      <c r="NL42" s="4" t="str">
        <f t="shared" si="160"/>
        <v/>
      </c>
      <c r="NM42" s="4" t="str">
        <f t="shared" si="161"/>
        <v/>
      </c>
      <c r="NN42" s="4" t="str">
        <f t="shared" si="162"/>
        <v/>
      </c>
      <c r="NO42" s="4" t="str">
        <f t="shared" si="163"/>
        <v/>
      </c>
      <c r="NP42" s="4" t="str">
        <f t="shared" si="164"/>
        <v/>
      </c>
      <c r="NQ42" s="4" t="str">
        <f t="shared" si="165"/>
        <v/>
      </c>
      <c r="NR42" s="4" t="str">
        <f t="shared" si="166"/>
        <v/>
      </c>
      <c r="NS42" s="4" t="str">
        <f t="shared" si="167"/>
        <v/>
      </c>
      <c r="NT42" s="4" t="str">
        <f t="shared" si="168"/>
        <v/>
      </c>
      <c r="NU42" s="4" t="str">
        <f t="shared" si="169"/>
        <v/>
      </c>
      <c r="NV42" s="4" t="str">
        <f t="shared" si="170"/>
        <v/>
      </c>
      <c r="NW42" s="4" t="str">
        <f t="shared" si="171"/>
        <v/>
      </c>
      <c r="NX42" s="4" t="str">
        <f t="shared" si="172"/>
        <v/>
      </c>
      <c r="NY42" s="4" t="str">
        <f t="shared" si="173"/>
        <v/>
      </c>
      <c r="NZ42" s="4" t="str">
        <f t="shared" si="174"/>
        <v/>
      </c>
      <c r="OA42" s="4" t="str">
        <f t="shared" si="175"/>
        <v/>
      </c>
      <c r="OB42" s="4" t="str">
        <f t="shared" si="176"/>
        <v/>
      </c>
      <c r="OC42" s="4" t="str">
        <f t="shared" si="177"/>
        <v/>
      </c>
      <c r="OD42" s="4" t="str">
        <f t="shared" si="178"/>
        <v/>
      </c>
      <c r="OE42" s="4" t="str">
        <f t="shared" si="179"/>
        <v/>
      </c>
      <c r="OF42" s="4" t="str">
        <f t="shared" si="180"/>
        <v/>
      </c>
      <c r="OG42" s="4" t="str">
        <f t="shared" si="181"/>
        <v/>
      </c>
      <c r="OH42" s="4" t="str">
        <f t="shared" si="182"/>
        <v/>
      </c>
      <c r="OI42" s="4" t="str">
        <f t="shared" si="183"/>
        <v/>
      </c>
      <c r="OJ42" s="4" t="str">
        <f t="shared" si="184"/>
        <v/>
      </c>
      <c r="OK42" s="4" t="str">
        <f t="shared" si="185"/>
        <v/>
      </c>
      <c r="OL42" s="4" t="str">
        <f t="shared" si="186"/>
        <v/>
      </c>
      <c r="OM42" s="4" t="str">
        <f t="shared" si="187"/>
        <v/>
      </c>
      <c r="ON42" s="4" t="str">
        <f t="shared" si="188"/>
        <v/>
      </c>
      <c r="OO42" s="4" t="str">
        <f t="shared" si="189"/>
        <v/>
      </c>
      <c r="OP42" s="4" t="str">
        <f t="shared" si="190"/>
        <v/>
      </c>
      <c r="OQ42" s="4" t="str">
        <f t="shared" si="191"/>
        <v/>
      </c>
      <c r="OR42" s="4" t="str">
        <f t="shared" si="192"/>
        <v/>
      </c>
      <c r="OS42" s="4" t="str">
        <f t="shared" si="193"/>
        <v/>
      </c>
      <c r="OT42" s="4" t="str">
        <f t="shared" si="194"/>
        <v/>
      </c>
      <c r="OU42" s="4" t="str">
        <f t="shared" si="195"/>
        <v/>
      </c>
      <c r="OV42" s="4" t="str">
        <f t="shared" si="196"/>
        <v/>
      </c>
      <c r="OW42" s="4" t="str">
        <f t="shared" si="197"/>
        <v/>
      </c>
      <c r="OX42" s="4" t="str">
        <f t="shared" si="198"/>
        <v/>
      </c>
      <c r="OY42" s="4" t="str">
        <f t="shared" si="199"/>
        <v/>
      </c>
      <c r="OZ42" s="4" t="str">
        <f t="shared" si="200"/>
        <v/>
      </c>
      <c r="PA42" s="4" t="str">
        <f t="shared" si="201"/>
        <v/>
      </c>
      <c r="PB42" s="4" t="str">
        <f t="shared" si="202"/>
        <v/>
      </c>
      <c r="PC42" s="4" t="str">
        <f t="shared" si="203"/>
        <v/>
      </c>
      <c r="PD42" s="4" t="str">
        <f t="shared" si="204"/>
        <v/>
      </c>
      <c r="PE42" s="4" t="str">
        <f t="shared" si="205"/>
        <v/>
      </c>
      <c r="PF42" s="4" t="str">
        <f t="shared" si="206"/>
        <v/>
      </c>
      <c r="PG42" s="4" t="str">
        <f t="shared" si="207"/>
        <v/>
      </c>
      <c r="PH42" s="4" t="str">
        <f t="shared" si="208"/>
        <v/>
      </c>
      <c r="PI42" s="4" t="str">
        <f t="shared" si="209"/>
        <v/>
      </c>
      <c r="PJ42" s="4" t="str">
        <f t="shared" si="210"/>
        <v/>
      </c>
      <c r="PK42" s="4" t="str">
        <f t="shared" si="211"/>
        <v/>
      </c>
      <c r="PL42" s="4" t="str">
        <f t="shared" si="212"/>
        <v/>
      </c>
      <c r="PM42" s="4" t="str">
        <f t="shared" si="213"/>
        <v/>
      </c>
      <c r="PN42" s="4" t="str">
        <f t="shared" si="214"/>
        <v/>
      </c>
      <c r="PO42" s="4" t="str">
        <f t="shared" si="215"/>
        <v/>
      </c>
      <c r="PP42" s="4" t="str">
        <f t="shared" si="216"/>
        <v/>
      </c>
      <c r="PQ42" s="4" t="str">
        <f t="shared" si="217"/>
        <v/>
      </c>
      <c r="PR42" s="4" t="str">
        <f t="shared" si="218"/>
        <v/>
      </c>
      <c r="PS42" s="4" t="str">
        <f t="shared" si="219"/>
        <v/>
      </c>
    </row>
    <row r="43">
      <c r="HI43" s="4" t="str">
        <f t="shared" si="2"/>
        <v/>
      </c>
      <c r="HJ43" s="4" t="str">
        <f t="shared" si="3"/>
        <v/>
      </c>
      <c r="HK43" s="4" t="str">
        <f t="shared" si="4"/>
        <v/>
      </c>
      <c r="HL43" s="4" t="str">
        <f t="shared" si="5"/>
        <v/>
      </c>
      <c r="HM43" s="4" t="str">
        <f t="shared" si="6"/>
        <v/>
      </c>
      <c r="HN43" s="4" t="str">
        <f t="shared" si="7"/>
        <v/>
      </c>
      <c r="HO43" s="4" t="str">
        <f t="shared" si="8"/>
        <v/>
      </c>
      <c r="HP43" s="4" t="str">
        <f t="shared" si="9"/>
        <v/>
      </c>
      <c r="HQ43" s="4" t="str">
        <f t="shared" si="10"/>
        <v/>
      </c>
      <c r="HR43" s="4" t="str">
        <f t="shared" si="11"/>
        <v/>
      </c>
      <c r="HS43" s="4" t="str">
        <f t="shared" si="12"/>
        <v/>
      </c>
      <c r="HT43" s="4" t="str">
        <f t="shared" si="13"/>
        <v/>
      </c>
      <c r="HU43" s="4" t="str">
        <f t="shared" si="14"/>
        <v/>
      </c>
      <c r="HV43" s="4" t="str">
        <f t="shared" si="15"/>
        <v/>
      </c>
      <c r="HW43" s="4" t="str">
        <f t="shared" si="16"/>
        <v/>
      </c>
      <c r="HX43" s="4" t="str">
        <f t="shared" si="17"/>
        <v/>
      </c>
      <c r="HY43" s="4" t="str">
        <f t="shared" si="18"/>
        <v/>
      </c>
      <c r="HZ43" s="4" t="str">
        <f t="shared" si="19"/>
        <v/>
      </c>
      <c r="IA43" s="4" t="str">
        <f t="shared" si="20"/>
        <v/>
      </c>
      <c r="IB43" s="4" t="str">
        <f t="shared" si="21"/>
        <v/>
      </c>
      <c r="IC43" s="4" t="str">
        <f t="shared" si="22"/>
        <v/>
      </c>
      <c r="ID43" s="4" t="str">
        <f t="shared" si="23"/>
        <v/>
      </c>
      <c r="IE43" s="4" t="str">
        <f t="shared" si="24"/>
        <v/>
      </c>
      <c r="IF43" s="4" t="str">
        <f t="shared" si="25"/>
        <v/>
      </c>
      <c r="IG43" s="4" t="str">
        <f t="shared" si="26"/>
        <v/>
      </c>
      <c r="IH43" s="4" t="str">
        <f t="shared" si="27"/>
        <v/>
      </c>
      <c r="II43" s="4" t="str">
        <f t="shared" si="28"/>
        <v/>
      </c>
      <c r="IJ43" s="4" t="str">
        <f t="shared" si="29"/>
        <v/>
      </c>
      <c r="IK43" s="4" t="str">
        <f t="shared" si="30"/>
        <v/>
      </c>
      <c r="IL43" s="4" t="str">
        <f t="shared" si="31"/>
        <v/>
      </c>
      <c r="IM43" s="4" t="str">
        <f t="shared" si="32"/>
        <v/>
      </c>
      <c r="IN43" s="4" t="str">
        <f t="shared" si="33"/>
        <v/>
      </c>
      <c r="IO43" s="4" t="str">
        <f t="shared" si="34"/>
        <v/>
      </c>
      <c r="IP43" s="4" t="str">
        <f t="shared" si="35"/>
        <v/>
      </c>
      <c r="IQ43" s="4" t="str">
        <f t="shared" si="36"/>
        <v/>
      </c>
      <c r="IR43" s="4" t="str">
        <f t="shared" si="37"/>
        <v/>
      </c>
      <c r="IS43" s="4" t="str">
        <f t="shared" si="38"/>
        <v/>
      </c>
      <c r="IT43" s="4" t="str">
        <f t="shared" si="39"/>
        <v/>
      </c>
      <c r="IU43" s="4" t="str">
        <f t="shared" si="40"/>
        <v/>
      </c>
      <c r="IV43" s="4" t="str">
        <f t="shared" si="41"/>
        <v/>
      </c>
      <c r="IW43" s="4" t="str">
        <f t="shared" si="42"/>
        <v/>
      </c>
      <c r="IX43" s="4" t="str">
        <f t="shared" si="43"/>
        <v/>
      </c>
      <c r="IY43" s="4" t="str">
        <f t="shared" si="44"/>
        <v/>
      </c>
      <c r="IZ43" s="4" t="str">
        <f t="shared" si="45"/>
        <v/>
      </c>
      <c r="JA43" s="4" t="str">
        <f t="shared" ref="JA43:JB43" si="259">if(ISERROR(SEARCH("Higher Education",BB43)),"","810")</f>
        <v/>
      </c>
      <c r="JB43" s="4" t="str">
        <f t="shared" si="259"/>
        <v/>
      </c>
      <c r="JC43" s="4" t="str">
        <f t="shared" si="47"/>
        <v/>
      </c>
      <c r="JD43" s="4" t="str">
        <f t="shared" si="48"/>
        <v/>
      </c>
      <c r="JE43" s="4" t="str">
        <f t="shared" si="49"/>
        <v/>
      </c>
      <c r="JF43" s="4" t="str">
        <f t="shared" si="50"/>
        <v/>
      </c>
      <c r="JG43" s="4" t="str">
        <f t="shared" si="51"/>
        <v/>
      </c>
      <c r="JH43" s="4" t="str">
        <f t="shared" si="52"/>
        <v/>
      </c>
      <c r="JI43" s="4" t="str">
        <f t="shared" si="53"/>
        <v/>
      </c>
      <c r="JJ43" s="4" t="str">
        <f t="shared" si="54"/>
        <v/>
      </c>
      <c r="JK43" s="4" t="str">
        <f t="shared" si="55"/>
        <v/>
      </c>
      <c r="JL43" s="4" t="str">
        <f t="shared" si="56"/>
        <v/>
      </c>
      <c r="JM43" s="4" t="str">
        <f t="shared" si="57"/>
        <v/>
      </c>
      <c r="JN43" s="4" t="str">
        <f t="shared" si="58"/>
        <v/>
      </c>
      <c r="JO43" s="4" t="str">
        <f t="shared" si="59"/>
        <v/>
      </c>
      <c r="JP43" s="4" t="str">
        <f t="shared" si="60"/>
        <v/>
      </c>
      <c r="JQ43" s="4" t="str">
        <f t="shared" si="61"/>
        <v/>
      </c>
      <c r="JR43" s="4" t="str">
        <f t="shared" si="62"/>
        <v/>
      </c>
      <c r="JS43" s="4" t="str">
        <f t="shared" si="63"/>
        <v/>
      </c>
      <c r="JT43" s="4" t="str">
        <f t="shared" si="64"/>
        <v/>
      </c>
      <c r="JU43" s="4" t="str">
        <f t="shared" si="65"/>
        <v/>
      </c>
      <c r="JV43" s="4" t="str">
        <f t="shared" si="66"/>
        <v/>
      </c>
      <c r="JW43" s="4" t="str">
        <f t="shared" si="67"/>
        <v/>
      </c>
      <c r="JX43" s="4" t="str">
        <f t="shared" si="68"/>
        <v/>
      </c>
      <c r="JY43" s="4" t="str">
        <f t="shared" si="69"/>
        <v/>
      </c>
      <c r="JZ43" s="4" t="str">
        <f t="shared" si="70"/>
        <v/>
      </c>
      <c r="KA43" s="4" t="str">
        <f t="shared" si="71"/>
        <v/>
      </c>
      <c r="KB43" s="4" t="str">
        <f t="shared" si="72"/>
        <v/>
      </c>
      <c r="KC43" s="4" t="str">
        <f t="shared" si="73"/>
        <v/>
      </c>
      <c r="KD43" s="4" t="str">
        <f t="shared" si="74"/>
        <v/>
      </c>
      <c r="KE43" s="4" t="str">
        <f t="shared" si="75"/>
        <v/>
      </c>
      <c r="KF43" s="4" t="str">
        <f t="shared" si="76"/>
        <v/>
      </c>
      <c r="KG43" s="4" t="str">
        <f t="shared" si="77"/>
        <v/>
      </c>
      <c r="KH43" s="4" t="str">
        <f t="shared" si="78"/>
        <v/>
      </c>
      <c r="KI43" s="4" t="str">
        <f t="shared" si="79"/>
        <v/>
      </c>
      <c r="KJ43" s="4" t="str">
        <f t="shared" si="80"/>
        <v/>
      </c>
      <c r="KK43" s="4" t="str">
        <f t="shared" si="81"/>
        <v/>
      </c>
      <c r="KL43" s="4" t="str">
        <f t="shared" si="82"/>
        <v/>
      </c>
      <c r="KM43" s="4" t="str">
        <f t="shared" si="83"/>
        <v/>
      </c>
      <c r="KN43" s="4" t="str">
        <f t="shared" si="84"/>
        <v/>
      </c>
      <c r="KO43" s="4" t="str">
        <f t="shared" si="85"/>
        <v/>
      </c>
      <c r="KP43" s="4" t="str">
        <f t="shared" si="86"/>
        <v/>
      </c>
      <c r="KQ43" s="4" t="str">
        <f t="shared" si="87"/>
        <v/>
      </c>
      <c r="KR43" s="4" t="str">
        <f t="shared" si="88"/>
        <v/>
      </c>
      <c r="KS43" s="4" t="str">
        <f t="shared" si="89"/>
        <v/>
      </c>
      <c r="KT43" s="4" t="str">
        <f t="shared" si="90"/>
        <v/>
      </c>
      <c r="KU43" s="4" t="str">
        <f t="shared" si="91"/>
        <v/>
      </c>
      <c r="KV43" s="4" t="str">
        <f t="shared" si="92"/>
        <v/>
      </c>
      <c r="KW43" s="4" t="str">
        <f t="shared" si="93"/>
        <v/>
      </c>
      <c r="KX43" s="4" t="str">
        <f t="shared" si="94"/>
        <v/>
      </c>
      <c r="KY43" s="4" t="str">
        <f t="shared" si="95"/>
        <v/>
      </c>
      <c r="KZ43" s="4" t="str">
        <f t="shared" si="96"/>
        <v/>
      </c>
      <c r="LA43" s="4" t="str">
        <f t="shared" si="97"/>
        <v/>
      </c>
      <c r="LB43" s="4" t="str">
        <f t="shared" si="98"/>
        <v/>
      </c>
      <c r="LC43" s="4" t="str">
        <f t="shared" si="99"/>
        <v/>
      </c>
      <c r="LD43" s="4" t="str">
        <f t="shared" si="100"/>
        <v/>
      </c>
      <c r="LE43" s="4" t="str">
        <f t="shared" si="101"/>
        <v/>
      </c>
      <c r="LF43" s="4" t="str">
        <f t="shared" si="102"/>
        <v/>
      </c>
      <c r="LG43" s="4" t="str">
        <f t="shared" si="103"/>
        <v/>
      </c>
      <c r="LH43" s="4" t="str">
        <f t="shared" si="104"/>
        <v/>
      </c>
      <c r="LI43" s="4" t="str">
        <f t="shared" si="105"/>
        <v/>
      </c>
      <c r="LJ43" s="4" t="str">
        <f t="shared" si="106"/>
        <v/>
      </c>
      <c r="LK43" s="4" t="str">
        <f t="shared" si="107"/>
        <v/>
      </c>
      <c r="LL43" s="4" t="str">
        <f t="shared" si="108"/>
        <v/>
      </c>
      <c r="LM43" s="4" t="str">
        <f t="shared" si="109"/>
        <v/>
      </c>
      <c r="LN43" s="4" t="str">
        <f t="shared" si="110"/>
        <v/>
      </c>
      <c r="LO43" s="4" t="str">
        <f t="shared" si="111"/>
        <v/>
      </c>
      <c r="LP43" s="4" t="str">
        <f t="shared" si="112"/>
        <v/>
      </c>
      <c r="LQ43" s="4" t="str">
        <f t="shared" si="113"/>
        <v/>
      </c>
      <c r="LR43" s="4" t="str">
        <f t="shared" si="114"/>
        <v/>
      </c>
      <c r="LS43" s="4" t="str">
        <f t="shared" si="115"/>
        <v/>
      </c>
      <c r="LT43" s="4" t="str">
        <f t="shared" si="116"/>
        <v/>
      </c>
      <c r="LU43" s="4" t="str">
        <f t="shared" si="117"/>
        <v/>
      </c>
      <c r="LV43" s="4" t="str">
        <f t="shared" si="118"/>
        <v/>
      </c>
      <c r="LW43" s="4" t="str">
        <f t="shared" si="119"/>
        <v/>
      </c>
      <c r="LX43" s="4" t="str">
        <f t="shared" si="120"/>
        <v/>
      </c>
      <c r="LY43" s="4" t="str">
        <f t="shared" si="121"/>
        <v/>
      </c>
      <c r="LZ43" s="4" t="str">
        <f t="shared" si="122"/>
        <v/>
      </c>
      <c r="MA43" s="4" t="str">
        <f t="shared" si="123"/>
        <v/>
      </c>
      <c r="MB43" s="4" t="str">
        <f t="shared" si="124"/>
        <v/>
      </c>
      <c r="MC43" s="4" t="str">
        <f t="shared" si="125"/>
        <v/>
      </c>
      <c r="MD43" s="4" t="str">
        <f t="shared" si="126"/>
        <v/>
      </c>
      <c r="ME43" s="4" t="str">
        <f t="shared" si="127"/>
        <v/>
      </c>
      <c r="MF43" s="4" t="str">
        <f t="shared" si="128"/>
        <v/>
      </c>
      <c r="MG43" s="4" t="str">
        <f t="shared" si="129"/>
        <v/>
      </c>
      <c r="MH43" s="4" t="str">
        <f t="shared" si="130"/>
        <v/>
      </c>
      <c r="MI43" s="4" t="str">
        <f t="shared" si="131"/>
        <v/>
      </c>
      <c r="MJ43" s="4" t="str">
        <f t="shared" si="132"/>
        <v/>
      </c>
      <c r="MK43" s="4" t="str">
        <f t="shared" si="133"/>
        <v/>
      </c>
      <c r="ML43" s="4" t="str">
        <f t="shared" si="134"/>
        <v/>
      </c>
      <c r="MM43" s="4" t="str">
        <f t="shared" si="135"/>
        <v/>
      </c>
      <c r="MN43" s="4" t="str">
        <f t="shared" si="136"/>
        <v/>
      </c>
      <c r="MO43" s="4" t="str">
        <f t="shared" si="137"/>
        <v/>
      </c>
      <c r="MP43" s="4" t="str">
        <f t="shared" si="138"/>
        <v/>
      </c>
      <c r="MQ43" s="4" t="str">
        <f t="shared" si="139"/>
        <v/>
      </c>
      <c r="MR43" s="4" t="str">
        <f t="shared" si="140"/>
        <v/>
      </c>
      <c r="MS43" s="4" t="str">
        <f t="shared" si="141"/>
        <v/>
      </c>
      <c r="MT43" s="4" t="str">
        <f t="shared" si="142"/>
        <v/>
      </c>
      <c r="MU43" s="4" t="str">
        <f t="shared" si="143"/>
        <v/>
      </c>
      <c r="MV43" s="4" t="str">
        <f t="shared" si="144"/>
        <v/>
      </c>
      <c r="MW43" s="4" t="str">
        <f t="shared" si="145"/>
        <v/>
      </c>
      <c r="MX43" s="4" t="str">
        <f t="shared" si="146"/>
        <v/>
      </c>
      <c r="MY43" s="4" t="str">
        <f t="shared" si="147"/>
        <v/>
      </c>
      <c r="MZ43" s="4" t="str">
        <f t="shared" si="148"/>
        <v/>
      </c>
      <c r="NA43" s="4" t="str">
        <f t="shared" si="149"/>
        <v/>
      </c>
      <c r="NB43" s="4" t="str">
        <f t="shared" si="150"/>
        <v/>
      </c>
      <c r="NC43" s="4" t="str">
        <f t="shared" si="151"/>
        <v/>
      </c>
      <c r="ND43" s="4" t="str">
        <f t="shared" si="152"/>
        <v/>
      </c>
      <c r="NE43" s="4" t="str">
        <f t="shared" si="153"/>
        <v/>
      </c>
      <c r="NF43" s="4" t="str">
        <f t="shared" si="154"/>
        <v/>
      </c>
      <c r="NG43" s="4" t="str">
        <f t="shared" si="155"/>
        <v/>
      </c>
      <c r="NH43" s="4" t="str">
        <f t="shared" si="156"/>
        <v/>
      </c>
      <c r="NI43" s="4" t="str">
        <f t="shared" si="157"/>
        <v/>
      </c>
      <c r="NJ43" s="4" t="str">
        <f t="shared" si="158"/>
        <v/>
      </c>
      <c r="NK43" s="4" t="str">
        <f t="shared" si="159"/>
        <v/>
      </c>
      <c r="NL43" s="4" t="str">
        <f t="shared" si="160"/>
        <v/>
      </c>
      <c r="NM43" s="4" t="str">
        <f t="shared" si="161"/>
        <v/>
      </c>
      <c r="NN43" s="4" t="str">
        <f t="shared" si="162"/>
        <v/>
      </c>
      <c r="NO43" s="4" t="str">
        <f t="shared" si="163"/>
        <v/>
      </c>
      <c r="NP43" s="4" t="str">
        <f t="shared" si="164"/>
        <v/>
      </c>
      <c r="NQ43" s="4" t="str">
        <f t="shared" si="165"/>
        <v/>
      </c>
      <c r="NR43" s="4" t="str">
        <f t="shared" si="166"/>
        <v/>
      </c>
      <c r="NS43" s="4" t="str">
        <f t="shared" si="167"/>
        <v/>
      </c>
      <c r="NT43" s="4" t="str">
        <f t="shared" si="168"/>
        <v/>
      </c>
      <c r="NU43" s="4" t="str">
        <f t="shared" si="169"/>
        <v/>
      </c>
      <c r="NV43" s="4" t="str">
        <f t="shared" si="170"/>
        <v/>
      </c>
      <c r="NW43" s="4" t="str">
        <f t="shared" si="171"/>
        <v/>
      </c>
      <c r="NX43" s="4" t="str">
        <f t="shared" si="172"/>
        <v/>
      </c>
      <c r="NY43" s="4" t="str">
        <f t="shared" si="173"/>
        <v/>
      </c>
      <c r="NZ43" s="4" t="str">
        <f t="shared" si="174"/>
        <v/>
      </c>
      <c r="OA43" s="4" t="str">
        <f t="shared" si="175"/>
        <v/>
      </c>
      <c r="OB43" s="4" t="str">
        <f t="shared" si="176"/>
        <v/>
      </c>
      <c r="OC43" s="4" t="str">
        <f t="shared" si="177"/>
        <v/>
      </c>
      <c r="OD43" s="4" t="str">
        <f t="shared" si="178"/>
        <v/>
      </c>
      <c r="OE43" s="4" t="str">
        <f t="shared" si="179"/>
        <v/>
      </c>
      <c r="OF43" s="4" t="str">
        <f t="shared" si="180"/>
        <v/>
      </c>
      <c r="OG43" s="4" t="str">
        <f t="shared" si="181"/>
        <v/>
      </c>
      <c r="OH43" s="4" t="str">
        <f t="shared" si="182"/>
        <v/>
      </c>
      <c r="OI43" s="4" t="str">
        <f t="shared" si="183"/>
        <v/>
      </c>
      <c r="OJ43" s="4" t="str">
        <f t="shared" si="184"/>
        <v/>
      </c>
      <c r="OK43" s="4" t="str">
        <f t="shared" si="185"/>
        <v/>
      </c>
      <c r="OL43" s="4" t="str">
        <f t="shared" si="186"/>
        <v/>
      </c>
      <c r="OM43" s="4" t="str">
        <f t="shared" si="187"/>
        <v/>
      </c>
      <c r="ON43" s="4" t="str">
        <f t="shared" si="188"/>
        <v/>
      </c>
      <c r="OO43" s="4" t="str">
        <f t="shared" si="189"/>
        <v/>
      </c>
      <c r="OP43" s="4" t="str">
        <f t="shared" si="190"/>
        <v/>
      </c>
      <c r="OQ43" s="4" t="str">
        <f t="shared" si="191"/>
        <v/>
      </c>
      <c r="OR43" s="4" t="str">
        <f t="shared" si="192"/>
        <v/>
      </c>
      <c r="OS43" s="4" t="str">
        <f t="shared" si="193"/>
        <v/>
      </c>
      <c r="OT43" s="4" t="str">
        <f t="shared" si="194"/>
        <v/>
      </c>
      <c r="OU43" s="4" t="str">
        <f t="shared" si="195"/>
        <v/>
      </c>
      <c r="OV43" s="4" t="str">
        <f t="shared" si="196"/>
        <v/>
      </c>
      <c r="OW43" s="4" t="str">
        <f t="shared" si="197"/>
        <v/>
      </c>
      <c r="OX43" s="4" t="str">
        <f t="shared" si="198"/>
        <v/>
      </c>
      <c r="OY43" s="4" t="str">
        <f t="shared" si="199"/>
        <v/>
      </c>
      <c r="OZ43" s="4" t="str">
        <f t="shared" si="200"/>
        <v/>
      </c>
      <c r="PA43" s="4" t="str">
        <f t="shared" si="201"/>
        <v/>
      </c>
      <c r="PB43" s="4" t="str">
        <f t="shared" si="202"/>
        <v/>
      </c>
      <c r="PC43" s="4" t="str">
        <f t="shared" si="203"/>
        <v/>
      </c>
      <c r="PD43" s="4" t="str">
        <f t="shared" si="204"/>
        <v/>
      </c>
      <c r="PE43" s="4" t="str">
        <f t="shared" si="205"/>
        <v/>
      </c>
      <c r="PF43" s="4" t="str">
        <f t="shared" si="206"/>
        <v/>
      </c>
      <c r="PG43" s="4" t="str">
        <f t="shared" si="207"/>
        <v/>
      </c>
      <c r="PH43" s="4" t="str">
        <f t="shared" si="208"/>
        <v/>
      </c>
      <c r="PI43" s="4" t="str">
        <f t="shared" si="209"/>
        <v/>
      </c>
      <c r="PJ43" s="4" t="str">
        <f t="shared" si="210"/>
        <v/>
      </c>
      <c r="PK43" s="4" t="str">
        <f t="shared" si="211"/>
        <v/>
      </c>
      <c r="PL43" s="4" t="str">
        <f t="shared" si="212"/>
        <v/>
      </c>
      <c r="PM43" s="4" t="str">
        <f t="shared" si="213"/>
        <v/>
      </c>
      <c r="PN43" s="4" t="str">
        <f t="shared" si="214"/>
        <v/>
      </c>
      <c r="PO43" s="4" t="str">
        <f t="shared" si="215"/>
        <v/>
      </c>
      <c r="PP43" s="4" t="str">
        <f t="shared" si="216"/>
        <v/>
      </c>
      <c r="PQ43" s="4" t="str">
        <f t="shared" si="217"/>
        <v/>
      </c>
      <c r="PR43" s="4" t="str">
        <f t="shared" si="218"/>
        <v/>
      </c>
      <c r="PS43" s="4" t="str">
        <f t="shared" si="219"/>
        <v/>
      </c>
    </row>
    <row r="44">
      <c r="HI44" s="4" t="str">
        <f t="shared" si="2"/>
        <v/>
      </c>
      <c r="HJ44" s="4" t="str">
        <f t="shared" si="3"/>
        <v/>
      </c>
      <c r="HK44" s="4" t="str">
        <f t="shared" si="4"/>
        <v/>
      </c>
      <c r="HL44" s="4" t="str">
        <f t="shared" si="5"/>
        <v/>
      </c>
      <c r="HM44" s="4" t="str">
        <f t="shared" si="6"/>
        <v/>
      </c>
      <c r="HN44" s="4" t="str">
        <f t="shared" si="7"/>
        <v/>
      </c>
      <c r="HO44" s="4" t="str">
        <f t="shared" si="8"/>
        <v/>
      </c>
      <c r="HP44" s="4" t="str">
        <f t="shared" si="9"/>
        <v/>
      </c>
      <c r="HQ44" s="4" t="str">
        <f t="shared" si="10"/>
        <v/>
      </c>
      <c r="HR44" s="4" t="str">
        <f t="shared" si="11"/>
        <v/>
      </c>
      <c r="HS44" s="4" t="str">
        <f t="shared" si="12"/>
        <v/>
      </c>
      <c r="HT44" s="4" t="str">
        <f t="shared" si="13"/>
        <v/>
      </c>
      <c r="HU44" s="4" t="str">
        <f t="shared" si="14"/>
        <v/>
      </c>
      <c r="HV44" s="4" t="str">
        <f t="shared" si="15"/>
        <v/>
      </c>
      <c r="HW44" s="4" t="str">
        <f t="shared" si="16"/>
        <v/>
      </c>
      <c r="HX44" s="4" t="str">
        <f t="shared" si="17"/>
        <v/>
      </c>
      <c r="HY44" s="4" t="str">
        <f t="shared" si="18"/>
        <v/>
      </c>
      <c r="HZ44" s="4" t="str">
        <f t="shared" si="19"/>
        <v/>
      </c>
      <c r="IA44" s="4" t="str">
        <f t="shared" si="20"/>
        <v/>
      </c>
      <c r="IB44" s="4" t="str">
        <f t="shared" si="21"/>
        <v/>
      </c>
      <c r="IC44" s="4" t="str">
        <f t="shared" si="22"/>
        <v/>
      </c>
      <c r="ID44" s="4" t="str">
        <f t="shared" si="23"/>
        <v/>
      </c>
      <c r="IE44" s="4" t="str">
        <f t="shared" si="24"/>
        <v/>
      </c>
      <c r="IF44" s="4" t="str">
        <f t="shared" si="25"/>
        <v/>
      </c>
      <c r="IG44" s="4" t="str">
        <f t="shared" si="26"/>
        <v/>
      </c>
      <c r="IH44" s="4" t="str">
        <f t="shared" si="27"/>
        <v/>
      </c>
      <c r="II44" s="4" t="str">
        <f t="shared" si="28"/>
        <v/>
      </c>
      <c r="IJ44" s="4" t="str">
        <f t="shared" si="29"/>
        <v/>
      </c>
      <c r="IK44" s="4" t="str">
        <f t="shared" si="30"/>
        <v/>
      </c>
      <c r="IL44" s="4" t="str">
        <f t="shared" si="31"/>
        <v/>
      </c>
      <c r="IM44" s="4" t="str">
        <f t="shared" si="32"/>
        <v/>
      </c>
      <c r="IN44" s="4" t="str">
        <f t="shared" si="33"/>
        <v/>
      </c>
      <c r="IO44" s="4" t="str">
        <f t="shared" si="34"/>
        <v/>
      </c>
      <c r="IP44" s="4" t="str">
        <f t="shared" si="35"/>
        <v/>
      </c>
      <c r="IQ44" s="4" t="str">
        <f t="shared" si="36"/>
        <v/>
      </c>
      <c r="IR44" s="4" t="str">
        <f t="shared" si="37"/>
        <v/>
      </c>
      <c r="IS44" s="4" t="str">
        <f t="shared" si="38"/>
        <v/>
      </c>
      <c r="IT44" s="4" t="str">
        <f t="shared" si="39"/>
        <v/>
      </c>
      <c r="IU44" s="4" t="str">
        <f t="shared" si="40"/>
        <v/>
      </c>
      <c r="IV44" s="4" t="str">
        <f t="shared" si="41"/>
        <v/>
      </c>
      <c r="IW44" s="4" t="str">
        <f t="shared" si="42"/>
        <v/>
      </c>
      <c r="IX44" s="4" t="str">
        <f t="shared" si="43"/>
        <v/>
      </c>
      <c r="IY44" s="4" t="str">
        <f t="shared" si="44"/>
        <v/>
      </c>
      <c r="IZ44" s="4" t="str">
        <f t="shared" si="45"/>
        <v/>
      </c>
      <c r="JA44" s="4" t="str">
        <f t="shared" ref="JA44:JB44" si="260">if(ISERROR(SEARCH("Higher Education",BB44)),"","810")</f>
        <v/>
      </c>
      <c r="JB44" s="4" t="str">
        <f t="shared" si="260"/>
        <v/>
      </c>
      <c r="JC44" s="4" t="str">
        <f t="shared" si="47"/>
        <v/>
      </c>
      <c r="JD44" s="4" t="str">
        <f t="shared" si="48"/>
        <v/>
      </c>
      <c r="JE44" s="4" t="str">
        <f t="shared" si="49"/>
        <v/>
      </c>
      <c r="JF44" s="4" t="str">
        <f t="shared" si="50"/>
        <v/>
      </c>
      <c r="JG44" s="4" t="str">
        <f t="shared" si="51"/>
        <v/>
      </c>
      <c r="JH44" s="4" t="str">
        <f t="shared" si="52"/>
        <v/>
      </c>
      <c r="JI44" s="4" t="str">
        <f t="shared" si="53"/>
        <v/>
      </c>
      <c r="JJ44" s="4" t="str">
        <f t="shared" si="54"/>
        <v/>
      </c>
      <c r="JK44" s="4" t="str">
        <f t="shared" si="55"/>
        <v/>
      </c>
      <c r="JL44" s="4" t="str">
        <f t="shared" si="56"/>
        <v/>
      </c>
      <c r="JM44" s="4" t="str">
        <f t="shared" si="57"/>
        <v/>
      </c>
      <c r="JN44" s="4" t="str">
        <f t="shared" si="58"/>
        <v/>
      </c>
      <c r="JO44" s="4" t="str">
        <f t="shared" si="59"/>
        <v/>
      </c>
      <c r="JP44" s="4" t="str">
        <f t="shared" si="60"/>
        <v/>
      </c>
      <c r="JQ44" s="4" t="str">
        <f t="shared" si="61"/>
        <v/>
      </c>
      <c r="JR44" s="4" t="str">
        <f t="shared" si="62"/>
        <v/>
      </c>
      <c r="JS44" s="4" t="str">
        <f t="shared" si="63"/>
        <v/>
      </c>
      <c r="JT44" s="4" t="str">
        <f t="shared" si="64"/>
        <v/>
      </c>
      <c r="JU44" s="4" t="str">
        <f t="shared" si="65"/>
        <v/>
      </c>
      <c r="JV44" s="4" t="str">
        <f t="shared" si="66"/>
        <v/>
      </c>
      <c r="JW44" s="4" t="str">
        <f t="shared" si="67"/>
        <v/>
      </c>
      <c r="JX44" s="4" t="str">
        <f t="shared" si="68"/>
        <v/>
      </c>
      <c r="JY44" s="4" t="str">
        <f t="shared" si="69"/>
        <v/>
      </c>
      <c r="JZ44" s="4" t="str">
        <f t="shared" si="70"/>
        <v/>
      </c>
      <c r="KA44" s="4" t="str">
        <f t="shared" si="71"/>
        <v/>
      </c>
      <c r="KB44" s="4" t="str">
        <f t="shared" si="72"/>
        <v/>
      </c>
      <c r="KC44" s="4" t="str">
        <f t="shared" si="73"/>
        <v/>
      </c>
      <c r="KD44" s="4" t="str">
        <f t="shared" si="74"/>
        <v/>
      </c>
      <c r="KE44" s="4" t="str">
        <f t="shared" si="75"/>
        <v/>
      </c>
      <c r="KF44" s="4" t="str">
        <f t="shared" si="76"/>
        <v/>
      </c>
      <c r="KG44" s="4" t="str">
        <f t="shared" si="77"/>
        <v/>
      </c>
      <c r="KH44" s="4" t="str">
        <f t="shared" si="78"/>
        <v/>
      </c>
      <c r="KI44" s="4" t="str">
        <f t="shared" si="79"/>
        <v/>
      </c>
      <c r="KJ44" s="4" t="str">
        <f t="shared" si="80"/>
        <v/>
      </c>
      <c r="KK44" s="4" t="str">
        <f t="shared" si="81"/>
        <v/>
      </c>
      <c r="KL44" s="4" t="str">
        <f t="shared" si="82"/>
        <v/>
      </c>
      <c r="KM44" s="4" t="str">
        <f t="shared" si="83"/>
        <v/>
      </c>
      <c r="KN44" s="4" t="str">
        <f t="shared" si="84"/>
        <v/>
      </c>
      <c r="KO44" s="4" t="str">
        <f t="shared" si="85"/>
        <v/>
      </c>
      <c r="KP44" s="4" t="str">
        <f t="shared" si="86"/>
        <v/>
      </c>
      <c r="KQ44" s="4" t="str">
        <f t="shared" si="87"/>
        <v/>
      </c>
      <c r="KR44" s="4" t="str">
        <f t="shared" si="88"/>
        <v/>
      </c>
      <c r="KS44" s="4" t="str">
        <f t="shared" si="89"/>
        <v/>
      </c>
      <c r="KT44" s="4" t="str">
        <f t="shared" si="90"/>
        <v/>
      </c>
      <c r="KU44" s="4" t="str">
        <f t="shared" si="91"/>
        <v/>
      </c>
      <c r="KV44" s="4" t="str">
        <f t="shared" si="92"/>
        <v/>
      </c>
      <c r="KW44" s="4" t="str">
        <f t="shared" si="93"/>
        <v/>
      </c>
      <c r="KX44" s="4" t="str">
        <f t="shared" si="94"/>
        <v/>
      </c>
      <c r="KY44" s="4" t="str">
        <f t="shared" si="95"/>
        <v/>
      </c>
      <c r="KZ44" s="4" t="str">
        <f t="shared" si="96"/>
        <v/>
      </c>
      <c r="LA44" s="4" t="str">
        <f t="shared" si="97"/>
        <v/>
      </c>
      <c r="LB44" s="4" t="str">
        <f t="shared" si="98"/>
        <v/>
      </c>
      <c r="LC44" s="4" t="str">
        <f t="shared" si="99"/>
        <v/>
      </c>
      <c r="LD44" s="4" t="str">
        <f t="shared" si="100"/>
        <v/>
      </c>
      <c r="LE44" s="4" t="str">
        <f t="shared" si="101"/>
        <v/>
      </c>
      <c r="LF44" s="4" t="str">
        <f t="shared" si="102"/>
        <v/>
      </c>
      <c r="LG44" s="4" t="str">
        <f t="shared" si="103"/>
        <v/>
      </c>
      <c r="LH44" s="4" t="str">
        <f t="shared" si="104"/>
        <v/>
      </c>
      <c r="LI44" s="4" t="str">
        <f t="shared" si="105"/>
        <v/>
      </c>
      <c r="LJ44" s="4" t="str">
        <f t="shared" si="106"/>
        <v/>
      </c>
      <c r="LK44" s="4" t="str">
        <f t="shared" si="107"/>
        <v/>
      </c>
      <c r="LL44" s="4" t="str">
        <f t="shared" si="108"/>
        <v/>
      </c>
      <c r="LM44" s="4" t="str">
        <f t="shared" si="109"/>
        <v/>
      </c>
      <c r="LN44" s="4" t="str">
        <f t="shared" si="110"/>
        <v/>
      </c>
      <c r="LO44" s="4" t="str">
        <f t="shared" si="111"/>
        <v/>
      </c>
      <c r="LP44" s="4" t="str">
        <f t="shared" si="112"/>
        <v/>
      </c>
      <c r="LQ44" s="4" t="str">
        <f t="shared" si="113"/>
        <v/>
      </c>
      <c r="LR44" s="4" t="str">
        <f t="shared" si="114"/>
        <v/>
      </c>
      <c r="LS44" s="4" t="str">
        <f t="shared" si="115"/>
        <v/>
      </c>
      <c r="LT44" s="4" t="str">
        <f t="shared" si="116"/>
        <v/>
      </c>
      <c r="LU44" s="4" t="str">
        <f t="shared" si="117"/>
        <v/>
      </c>
      <c r="LV44" s="4" t="str">
        <f t="shared" si="118"/>
        <v/>
      </c>
      <c r="LW44" s="4" t="str">
        <f t="shared" si="119"/>
        <v/>
      </c>
      <c r="LX44" s="4" t="str">
        <f t="shared" si="120"/>
        <v/>
      </c>
      <c r="LY44" s="4" t="str">
        <f t="shared" si="121"/>
        <v/>
      </c>
      <c r="LZ44" s="4" t="str">
        <f t="shared" si="122"/>
        <v/>
      </c>
      <c r="MA44" s="4" t="str">
        <f t="shared" si="123"/>
        <v/>
      </c>
      <c r="MB44" s="4" t="str">
        <f t="shared" si="124"/>
        <v/>
      </c>
      <c r="MC44" s="4" t="str">
        <f t="shared" si="125"/>
        <v/>
      </c>
      <c r="MD44" s="4" t="str">
        <f t="shared" si="126"/>
        <v/>
      </c>
      <c r="ME44" s="4" t="str">
        <f t="shared" si="127"/>
        <v/>
      </c>
      <c r="MF44" s="4" t="str">
        <f t="shared" si="128"/>
        <v/>
      </c>
      <c r="MG44" s="4" t="str">
        <f t="shared" si="129"/>
        <v/>
      </c>
      <c r="MH44" s="4" t="str">
        <f t="shared" si="130"/>
        <v/>
      </c>
      <c r="MI44" s="4" t="str">
        <f t="shared" si="131"/>
        <v/>
      </c>
      <c r="MJ44" s="4" t="str">
        <f t="shared" si="132"/>
        <v/>
      </c>
      <c r="MK44" s="4" t="str">
        <f t="shared" si="133"/>
        <v/>
      </c>
      <c r="ML44" s="4" t="str">
        <f t="shared" si="134"/>
        <v/>
      </c>
      <c r="MM44" s="4" t="str">
        <f t="shared" si="135"/>
        <v/>
      </c>
      <c r="MN44" s="4" t="str">
        <f t="shared" si="136"/>
        <v/>
      </c>
      <c r="MO44" s="4" t="str">
        <f t="shared" si="137"/>
        <v/>
      </c>
      <c r="MP44" s="4" t="str">
        <f t="shared" si="138"/>
        <v/>
      </c>
      <c r="MQ44" s="4" t="str">
        <f t="shared" si="139"/>
        <v/>
      </c>
      <c r="MR44" s="4" t="str">
        <f t="shared" si="140"/>
        <v/>
      </c>
      <c r="MS44" s="4" t="str">
        <f t="shared" si="141"/>
        <v/>
      </c>
      <c r="MT44" s="4" t="str">
        <f t="shared" si="142"/>
        <v/>
      </c>
      <c r="MU44" s="4" t="str">
        <f t="shared" si="143"/>
        <v/>
      </c>
      <c r="MV44" s="4" t="str">
        <f t="shared" si="144"/>
        <v/>
      </c>
      <c r="MW44" s="4" t="str">
        <f t="shared" si="145"/>
        <v/>
      </c>
      <c r="MX44" s="4" t="str">
        <f t="shared" si="146"/>
        <v/>
      </c>
      <c r="MY44" s="4" t="str">
        <f t="shared" si="147"/>
        <v/>
      </c>
      <c r="MZ44" s="4" t="str">
        <f t="shared" si="148"/>
        <v/>
      </c>
      <c r="NA44" s="4" t="str">
        <f t="shared" si="149"/>
        <v/>
      </c>
      <c r="NB44" s="4" t="str">
        <f t="shared" si="150"/>
        <v/>
      </c>
      <c r="NC44" s="4" t="str">
        <f t="shared" si="151"/>
        <v/>
      </c>
      <c r="ND44" s="4" t="str">
        <f t="shared" si="152"/>
        <v/>
      </c>
      <c r="NE44" s="4" t="str">
        <f t="shared" si="153"/>
        <v/>
      </c>
      <c r="NF44" s="4" t="str">
        <f t="shared" si="154"/>
        <v/>
      </c>
      <c r="NG44" s="4" t="str">
        <f t="shared" si="155"/>
        <v/>
      </c>
      <c r="NH44" s="4" t="str">
        <f t="shared" si="156"/>
        <v/>
      </c>
      <c r="NI44" s="4" t="str">
        <f t="shared" si="157"/>
        <v/>
      </c>
      <c r="NJ44" s="4" t="str">
        <f t="shared" si="158"/>
        <v/>
      </c>
      <c r="NK44" s="4" t="str">
        <f t="shared" si="159"/>
        <v/>
      </c>
      <c r="NL44" s="4" t="str">
        <f t="shared" si="160"/>
        <v/>
      </c>
      <c r="NM44" s="4" t="str">
        <f t="shared" si="161"/>
        <v/>
      </c>
      <c r="NN44" s="4" t="str">
        <f t="shared" si="162"/>
        <v/>
      </c>
      <c r="NO44" s="4" t="str">
        <f t="shared" si="163"/>
        <v/>
      </c>
      <c r="NP44" s="4" t="str">
        <f t="shared" si="164"/>
        <v/>
      </c>
      <c r="NQ44" s="4" t="str">
        <f t="shared" si="165"/>
        <v/>
      </c>
      <c r="NR44" s="4" t="str">
        <f t="shared" si="166"/>
        <v/>
      </c>
      <c r="NS44" s="4" t="str">
        <f t="shared" si="167"/>
        <v/>
      </c>
      <c r="NT44" s="4" t="str">
        <f t="shared" si="168"/>
        <v/>
      </c>
      <c r="NU44" s="4" t="str">
        <f t="shared" si="169"/>
        <v/>
      </c>
      <c r="NV44" s="4" t="str">
        <f t="shared" si="170"/>
        <v/>
      </c>
      <c r="NW44" s="4" t="str">
        <f t="shared" si="171"/>
        <v/>
      </c>
      <c r="NX44" s="4" t="str">
        <f t="shared" si="172"/>
        <v/>
      </c>
      <c r="NY44" s="4" t="str">
        <f t="shared" si="173"/>
        <v/>
      </c>
      <c r="NZ44" s="4" t="str">
        <f t="shared" si="174"/>
        <v/>
      </c>
      <c r="OA44" s="4" t="str">
        <f t="shared" si="175"/>
        <v/>
      </c>
      <c r="OB44" s="4" t="str">
        <f t="shared" si="176"/>
        <v/>
      </c>
      <c r="OC44" s="4" t="str">
        <f t="shared" si="177"/>
        <v/>
      </c>
      <c r="OD44" s="4" t="str">
        <f t="shared" si="178"/>
        <v/>
      </c>
      <c r="OE44" s="4" t="str">
        <f t="shared" si="179"/>
        <v/>
      </c>
      <c r="OF44" s="4" t="str">
        <f t="shared" si="180"/>
        <v/>
      </c>
      <c r="OG44" s="4" t="str">
        <f t="shared" si="181"/>
        <v/>
      </c>
      <c r="OH44" s="4" t="str">
        <f t="shared" si="182"/>
        <v/>
      </c>
      <c r="OI44" s="4" t="str">
        <f t="shared" si="183"/>
        <v/>
      </c>
      <c r="OJ44" s="4" t="str">
        <f t="shared" si="184"/>
        <v/>
      </c>
      <c r="OK44" s="4" t="str">
        <f t="shared" si="185"/>
        <v/>
      </c>
      <c r="OL44" s="4" t="str">
        <f t="shared" si="186"/>
        <v/>
      </c>
      <c r="OM44" s="4" t="str">
        <f t="shared" si="187"/>
        <v/>
      </c>
      <c r="ON44" s="4" t="str">
        <f t="shared" si="188"/>
        <v/>
      </c>
      <c r="OO44" s="4" t="str">
        <f t="shared" si="189"/>
        <v/>
      </c>
      <c r="OP44" s="4" t="str">
        <f t="shared" si="190"/>
        <v/>
      </c>
      <c r="OQ44" s="4" t="str">
        <f t="shared" si="191"/>
        <v/>
      </c>
      <c r="OR44" s="4" t="str">
        <f t="shared" si="192"/>
        <v/>
      </c>
      <c r="OS44" s="4" t="str">
        <f t="shared" si="193"/>
        <v/>
      </c>
      <c r="OT44" s="4" t="str">
        <f t="shared" si="194"/>
        <v/>
      </c>
      <c r="OU44" s="4" t="str">
        <f t="shared" si="195"/>
        <v/>
      </c>
      <c r="OV44" s="4" t="str">
        <f t="shared" si="196"/>
        <v/>
      </c>
      <c r="OW44" s="4" t="str">
        <f t="shared" si="197"/>
        <v/>
      </c>
      <c r="OX44" s="4" t="str">
        <f t="shared" si="198"/>
        <v/>
      </c>
      <c r="OY44" s="4" t="str">
        <f t="shared" si="199"/>
        <v/>
      </c>
      <c r="OZ44" s="4" t="str">
        <f t="shared" si="200"/>
        <v/>
      </c>
      <c r="PA44" s="4" t="str">
        <f t="shared" si="201"/>
        <v/>
      </c>
      <c r="PB44" s="4" t="str">
        <f t="shared" si="202"/>
        <v/>
      </c>
      <c r="PC44" s="4" t="str">
        <f t="shared" si="203"/>
        <v/>
      </c>
      <c r="PD44" s="4" t="str">
        <f t="shared" si="204"/>
        <v/>
      </c>
      <c r="PE44" s="4" t="str">
        <f t="shared" si="205"/>
        <v/>
      </c>
      <c r="PF44" s="4" t="str">
        <f t="shared" si="206"/>
        <v/>
      </c>
      <c r="PG44" s="4" t="str">
        <f t="shared" si="207"/>
        <v/>
      </c>
      <c r="PH44" s="4" t="str">
        <f t="shared" si="208"/>
        <v/>
      </c>
      <c r="PI44" s="4" t="str">
        <f t="shared" si="209"/>
        <v/>
      </c>
      <c r="PJ44" s="4" t="str">
        <f t="shared" si="210"/>
        <v/>
      </c>
      <c r="PK44" s="4" t="str">
        <f t="shared" si="211"/>
        <v/>
      </c>
      <c r="PL44" s="4" t="str">
        <f t="shared" si="212"/>
        <v/>
      </c>
      <c r="PM44" s="4" t="str">
        <f t="shared" si="213"/>
        <v/>
      </c>
      <c r="PN44" s="4" t="str">
        <f t="shared" si="214"/>
        <v/>
      </c>
      <c r="PO44" s="4" t="str">
        <f t="shared" si="215"/>
        <v/>
      </c>
      <c r="PP44" s="4" t="str">
        <f t="shared" si="216"/>
        <v/>
      </c>
      <c r="PQ44" s="4" t="str">
        <f t="shared" si="217"/>
        <v/>
      </c>
      <c r="PR44" s="4" t="str">
        <f t="shared" si="218"/>
        <v/>
      </c>
      <c r="PS44" s="4" t="str">
        <f t="shared" si="219"/>
        <v/>
      </c>
    </row>
    <row r="45">
      <c r="HI45" s="4" t="str">
        <f t="shared" si="2"/>
        <v/>
      </c>
      <c r="HJ45" s="4" t="str">
        <f t="shared" si="3"/>
        <v/>
      </c>
      <c r="HK45" s="4" t="str">
        <f t="shared" si="4"/>
        <v/>
      </c>
      <c r="HL45" s="4" t="str">
        <f t="shared" si="5"/>
        <v/>
      </c>
      <c r="HM45" s="4" t="str">
        <f t="shared" si="6"/>
        <v/>
      </c>
      <c r="HN45" s="4" t="str">
        <f t="shared" si="7"/>
        <v/>
      </c>
      <c r="HO45" s="4" t="str">
        <f t="shared" si="8"/>
        <v/>
      </c>
      <c r="HP45" s="4" t="str">
        <f t="shared" si="9"/>
        <v/>
      </c>
      <c r="HQ45" s="4" t="str">
        <f t="shared" si="10"/>
        <v/>
      </c>
      <c r="HR45" s="4" t="str">
        <f t="shared" si="11"/>
        <v/>
      </c>
      <c r="HS45" s="4" t="str">
        <f t="shared" si="12"/>
        <v/>
      </c>
      <c r="HT45" s="4" t="str">
        <f t="shared" si="13"/>
        <v/>
      </c>
      <c r="HU45" s="4" t="str">
        <f t="shared" si="14"/>
        <v/>
      </c>
      <c r="HV45" s="4" t="str">
        <f t="shared" si="15"/>
        <v/>
      </c>
      <c r="HW45" s="4" t="str">
        <f t="shared" si="16"/>
        <v/>
      </c>
      <c r="HX45" s="4" t="str">
        <f t="shared" si="17"/>
        <v/>
      </c>
      <c r="HY45" s="4" t="str">
        <f t="shared" si="18"/>
        <v/>
      </c>
      <c r="HZ45" s="4" t="str">
        <f t="shared" si="19"/>
        <v/>
      </c>
      <c r="IA45" s="4" t="str">
        <f t="shared" si="20"/>
        <v/>
      </c>
      <c r="IB45" s="4" t="str">
        <f t="shared" si="21"/>
        <v/>
      </c>
      <c r="IC45" s="4" t="str">
        <f t="shared" si="22"/>
        <v/>
      </c>
      <c r="ID45" s="4" t="str">
        <f t="shared" si="23"/>
        <v/>
      </c>
      <c r="IE45" s="4" t="str">
        <f t="shared" si="24"/>
        <v/>
      </c>
      <c r="IF45" s="4" t="str">
        <f t="shared" si="25"/>
        <v/>
      </c>
      <c r="IG45" s="4" t="str">
        <f t="shared" si="26"/>
        <v/>
      </c>
      <c r="IH45" s="4" t="str">
        <f t="shared" si="27"/>
        <v/>
      </c>
      <c r="II45" s="4" t="str">
        <f t="shared" si="28"/>
        <v/>
      </c>
      <c r="IJ45" s="4" t="str">
        <f t="shared" si="29"/>
        <v/>
      </c>
      <c r="IK45" s="4" t="str">
        <f t="shared" si="30"/>
        <v/>
      </c>
      <c r="IL45" s="4" t="str">
        <f t="shared" si="31"/>
        <v/>
      </c>
      <c r="IM45" s="4" t="str">
        <f t="shared" si="32"/>
        <v/>
      </c>
      <c r="IN45" s="4" t="str">
        <f t="shared" si="33"/>
        <v/>
      </c>
      <c r="IO45" s="4" t="str">
        <f t="shared" si="34"/>
        <v/>
      </c>
      <c r="IP45" s="4" t="str">
        <f t="shared" si="35"/>
        <v/>
      </c>
      <c r="IQ45" s="4" t="str">
        <f t="shared" si="36"/>
        <v/>
      </c>
      <c r="IR45" s="4" t="str">
        <f t="shared" si="37"/>
        <v/>
      </c>
      <c r="IS45" s="4" t="str">
        <f t="shared" si="38"/>
        <v/>
      </c>
      <c r="IT45" s="4" t="str">
        <f t="shared" si="39"/>
        <v/>
      </c>
      <c r="IU45" s="4" t="str">
        <f t="shared" si="40"/>
        <v/>
      </c>
      <c r="IV45" s="4" t="str">
        <f t="shared" si="41"/>
        <v/>
      </c>
      <c r="IW45" s="4" t="str">
        <f t="shared" si="42"/>
        <v/>
      </c>
      <c r="IX45" s="4" t="str">
        <f t="shared" si="43"/>
        <v/>
      </c>
      <c r="IY45" s="4" t="str">
        <f t="shared" si="44"/>
        <v/>
      </c>
      <c r="IZ45" s="4" t="str">
        <f t="shared" si="45"/>
        <v/>
      </c>
      <c r="JA45" s="4" t="str">
        <f t="shared" ref="JA45:JB45" si="261">if(ISERROR(SEARCH("Higher Education",BB45)),"","810")</f>
        <v/>
      </c>
      <c r="JB45" s="4" t="str">
        <f t="shared" si="261"/>
        <v/>
      </c>
      <c r="JC45" s="4" t="str">
        <f t="shared" si="47"/>
        <v/>
      </c>
      <c r="JD45" s="4" t="str">
        <f t="shared" si="48"/>
        <v/>
      </c>
      <c r="JE45" s="4" t="str">
        <f t="shared" si="49"/>
        <v/>
      </c>
      <c r="JF45" s="4" t="str">
        <f t="shared" si="50"/>
        <v/>
      </c>
      <c r="JG45" s="4" t="str">
        <f t="shared" si="51"/>
        <v/>
      </c>
      <c r="JH45" s="4" t="str">
        <f t="shared" si="52"/>
        <v/>
      </c>
      <c r="JI45" s="4" t="str">
        <f t="shared" si="53"/>
        <v/>
      </c>
      <c r="JJ45" s="4" t="str">
        <f t="shared" si="54"/>
        <v/>
      </c>
      <c r="JK45" s="4" t="str">
        <f t="shared" si="55"/>
        <v/>
      </c>
      <c r="JL45" s="4" t="str">
        <f t="shared" si="56"/>
        <v/>
      </c>
      <c r="JM45" s="4" t="str">
        <f t="shared" si="57"/>
        <v/>
      </c>
      <c r="JN45" s="4" t="str">
        <f t="shared" si="58"/>
        <v/>
      </c>
      <c r="JO45" s="4" t="str">
        <f t="shared" si="59"/>
        <v/>
      </c>
      <c r="JP45" s="4" t="str">
        <f t="shared" si="60"/>
        <v/>
      </c>
      <c r="JQ45" s="4" t="str">
        <f t="shared" si="61"/>
        <v/>
      </c>
      <c r="JR45" s="4" t="str">
        <f t="shared" si="62"/>
        <v/>
      </c>
      <c r="JS45" s="4" t="str">
        <f t="shared" si="63"/>
        <v/>
      </c>
      <c r="JT45" s="4" t="str">
        <f t="shared" si="64"/>
        <v/>
      </c>
      <c r="JU45" s="4" t="str">
        <f t="shared" si="65"/>
        <v/>
      </c>
      <c r="JV45" s="4" t="str">
        <f t="shared" si="66"/>
        <v/>
      </c>
      <c r="JW45" s="4" t="str">
        <f t="shared" si="67"/>
        <v/>
      </c>
      <c r="JX45" s="4" t="str">
        <f t="shared" si="68"/>
        <v/>
      </c>
      <c r="JY45" s="4" t="str">
        <f t="shared" si="69"/>
        <v/>
      </c>
      <c r="JZ45" s="4" t="str">
        <f t="shared" si="70"/>
        <v/>
      </c>
      <c r="KA45" s="4" t="str">
        <f t="shared" si="71"/>
        <v/>
      </c>
      <c r="KB45" s="4" t="str">
        <f t="shared" si="72"/>
        <v/>
      </c>
      <c r="KC45" s="4" t="str">
        <f t="shared" si="73"/>
        <v/>
      </c>
      <c r="KD45" s="4" t="str">
        <f t="shared" si="74"/>
        <v/>
      </c>
      <c r="KE45" s="4" t="str">
        <f t="shared" si="75"/>
        <v/>
      </c>
      <c r="KF45" s="4" t="str">
        <f t="shared" si="76"/>
        <v/>
      </c>
      <c r="KG45" s="4" t="str">
        <f t="shared" si="77"/>
        <v/>
      </c>
      <c r="KH45" s="4" t="str">
        <f t="shared" si="78"/>
        <v/>
      </c>
      <c r="KI45" s="4" t="str">
        <f t="shared" si="79"/>
        <v/>
      </c>
      <c r="KJ45" s="4" t="str">
        <f t="shared" si="80"/>
        <v/>
      </c>
      <c r="KK45" s="4" t="str">
        <f t="shared" si="81"/>
        <v/>
      </c>
      <c r="KL45" s="4" t="str">
        <f t="shared" si="82"/>
        <v/>
      </c>
      <c r="KM45" s="4" t="str">
        <f t="shared" si="83"/>
        <v/>
      </c>
      <c r="KN45" s="4" t="str">
        <f t="shared" si="84"/>
        <v/>
      </c>
      <c r="KO45" s="4" t="str">
        <f t="shared" si="85"/>
        <v/>
      </c>
      <c r="KP45" s="4" t="str">
        <f t="shared" si="86"/>
        <v/>
      </c>
      <c r="KQ45" s="4" t="str">
        <f t="shared" si="87"/>
        <v/>
      </c>
      <c r="KR45" s="4" t="str">
        <f t="shared" si="88"/>
        <v/>
      </c>
      <c r="KS45" s="4" t="str">
        <f t="shared" si="89"/>
        <v/>
      </c>
      <c r="KT45" s="4" t="str">
        <f t="shared" si="90"/>
        <v/>
      </c>
      <c r="KU45" s="4" t="str">
        <f t="shared" si="91"/>
        <v/>
      </c>
      <c r="KV45" s="4" t="str">
        <f t="shared" si="92"/>
        <v/>
      </c>
      <c r="KW45" s="4" t="str">
        <f t="shared" si="93"/>
        <v/>
      </c>
      <c r="KX45" s="4" t="str">
        <f t="shared" si="94"/>
        <v/>
      </c>
      <c r="KY45" s="4" t="str">
        <f t="shared" si="95"/>
        <v/>
      </c>
      <c r="KZ45" s="4" t="str">
        <f t="shared" si="96"/>
        <v/>
      </c>
      <c r="LA45" s="4" t="str">
        <f t="shared" si="97"/>
        <v/>
      </c>
      <c r="LB45" s="4" t="str">
        <f t="shared" si="98"/>
        <v/>
      </c>
      <c r="LC45" s="4" t="str">
        <f t="shared" si="99"/>
        <v/>
      </c>
      <c r="LD45" s="4" t="str">
        <f t="shared" si="100"/>
        <v/>
      </c>
      <c r="LE45" s="4" t="str">
        <f t="shared" si="101"/>
        <v/>
      </c>
      <c r="LF45" s="4" t="str">
        <f t="shared" si="102"/>
        <v/>
      </c>
      <c r="LG45" s="4" t="str">
        <f t="shared" si="103"/>
        <v/>
      </c>
      <c r="LH45" s="4" t="str">
        <f t="shared" si="104"/>
        <v/>
      </c>
      <c r="LI45" s="4" t="str">
        <f t="shared" si="105"/>
        <v/>
      </c>
      <c r="LJ45" s="4" t="str">
        <f t="shared" si="106"/>
        <v/>
      </c>
      <c r="LK45" s="4" t="str">
        <f t="shared" si="107"/>
        <v/>
      </c>
      <c r="LL45" s="4" t="str">
        <f t="shared" si="108"/>
        <v/>
      </c>
      <c r="LM45" s="4" t="str">
        <f t="shared" si="109"/>
        <v/>
      </c>
      <c r="LN45" s="4" t="str">
        <f t="shared" si="110"/>
        <v/>
      </c>
      <c r="LO45" s="4" t="str">
        <f t="shared" si="111"/>
        <v/>
      </c>
      <c r="LP45" s="4" t="str">
        <f t="shared" si="112"/>
        <v/>
      </c>
      <c r="LQ45" s="4" t="str">
        <f t="shared" si="113"/>
        <v/>
      </c>
      <c r="LR45" s="4" t="str">
        <f t="shared" si="114"/>
        <v/>
      </c>
      <c r="LS45" s="4" t="str">
        <f t="shared" si="115"/>
        <v/>
      </c>
      <c r="LT45" s="4" t="str">
        <f t="shared" si="116"/>
        <v/>
      </c>
      <c r="LU45" s="4" t="str">
        <f t="shared" si="117"/>
        <v/>
      </c>
      <c r="LV45" s="4" t="str">
        <f t="shared" si="118"/>
        <v/>
      </c>
      <c r="LW45" s="4" t="str">
        <f t="shared" si="119"/>
        <v/>
      </c>
      <c r="LX45" s="4" t="str">
        <f t="shared" si="120"/>
        <v/>
      </c>
      <c r="LY45" s="4" t="str">
        <f t="shared" si="121"/>
        <v/>
      </c>
      <c r="LZ45" s="4" t="str">
        <f t="shared" si="122"/>
        <v/>
      </c>
      <c r="MA45" s="4" t="str">
        <f t="shared" si="123"/>
        <v/>
      </c>
      <c r="MB45" s="4" t="str">
        <f t="shared" si="124"/>
        <v/>
      </c>
      <c r="MC45" s="4" t="str">
        <f t="shared" si="125"/>
        <v/>
      </c>
      <c r="MD45" s="4" t="str">
        <f t="shared" si="126"/>
        <v/>
      </c>
      <c r="ME45" s="4" t="str">
        <f t="shared" si="127"/>
        <v/>
      </c>
      <c r="MF45" s="4" t="str">
        <f t="shared" si="128"/>
        <v/>
      </c>
      <c r="MG45" s="4" t="str">
        <f t="shared" si="129"/>
        <v/>
      </c>
      <c r="MH45" s="4" t="str">
        <f t="shared" si="130"/>
        <v/>
      </c>
      <c r="MI45" s="4" t="str">
        <f t="shared" si="131"/>
        <v/>
      </c>
      <c r="MJ45" s="4" t="str">
        <f t="shared" si="132"/>
        <v/>
      </c>
      <c r="MK45" s="4" t="str">
        <f t="shared" si="133"/>
        <v/>
      </c>
      <c r="ML45" s="4" t="str">
        <f t="shared" si="134"/>
        <v/>
      </c>
      <c r="MM45" s="4" t="str">
        <f t="shared" si="135"/>
        <v/>
      </c>
      <c r="MN45" s="4" t="str">
        <f t="shared" si="136"/>
        <v/>
      </c>
      <c r="MO45" s="4" t="str">
        <f t="shared" si="137"/>
        <v/>
      </c>
      <c r="MP45" s="4" t="str">
        <f t="shared" si="138"/>
        <v/>
      </c>
      <c r="MQ45" s="4" t="str">
        <f t="shared" si="139"/>
        <v/>
      </c>
      <c r="MR45" s="4" t="str">
        <f t="shared" si="140"/>
        <v/>
      </c>
      <c r="MS45" s="4" t="str">
        <f t="shared" si="141"/>
        <v/>
      </c>
      <c r="MT45" s="4" t="str">
        <f t="shared" si="142"/>
        <v/>
      </c>
      <c r="MU45" s="4" t="str">
        <f t="shared" si="143"/>
        <v/>
      </c>
      <c r="MV45" s="4" t="str">
        <f t="shared" si="144"/>
        <v/>
      </c>
      <c r="MW45" s="4" t="str">
        <f t="shared" si="145"/>
        <v/>
      </c>
      <c r="MX45" s="4" t="str">
        <f t="shared" si="146"/>
        <v/>
      </c>
      <c r="MY45" s="4" t="str">
        <f t="shared" si="147"/>
        <v/>
      </c>
      <c r="MZ45" s="4" t="str">
        <f t="shared" si="148"/>
        <v/>
      </c>
      <c r="NA45" s="4" t="str">
        <f t="shared" si="149"/>
        <v/>
      </c>
      <c r="NB45" s="4" t="str">
        <f t="shared" si="150"/>
        <v/>
      </c>
      <c r="NC45" s="4" t="str">
        <f t="shared" si="151"/>
        <v/>
      </c>
      <c r="ND45" s="4" t="str">
        <f t="shared" si="152"/>
        <v/>
      </c>
      <c r="NE45" s="4" t="str">
        <f t="shared" si="153"/>
        <v/>
      </c>
      <c r="NF45" s="4" t="str">
        <f t="shared" si="154"/>
        <v/>
      </c>
      <c r="NG45" s="4" t="str">
        <f t="shared" si="155"/>
        <v/>
      </c>
      <c r="NH45" s="4" t="str">
        <f t="shared" si="156"/>
        <v/>
      </c>
      <c r="NI45" s="4" t="str">
        <f t="shared" si="157"/>
        <v/>
      </c>
      <c r="NJ45" s="4" t="str">
        <f t="shared" si="158"/>
        <v/>
      </c>
      <c r="NK45" s="4" t="str">
        <f t="shared" si="159"/>
        <v/>
      </c>
      <c r="NL45" s="4" t="str">
        <f t="shared" si="160"/>
        <v/>
      </c>
      <c r="NM45" s="4" t="str">
        <f t="shared" si="161"/>
        <v/>
      </c>
      <c r="NN45" s="4" t="str">
        <f t="shared" si="162"/>
        <v/>
      </c>
      <c r="NO45" s="4" t="str">
        <f t="shared" si="163"/>
        <v/>
      </c>
      <c r="NP45" s="4" t="str">
        <f t="shared" si="164"/>
        <v/>
      </c>
      <c r="NQ45" s="4" t="str">
        <f t="shared" si="165"/>
        <v/>
      </c>
      <c r="NR45" s="4" t="str">
        <f t="shared" si="166"/>
        <v/>
      </c>
      <c r="NS45" s="4" t="str">
        <f t="shared" si="167"/>
        <v/>
      </c>
      <c r="NT45" s="4" t="str">
        <f t="shared" si="168"/>
        <v/>
      </c>
      <c r="NU45" s="4" t="str">
        <f t="shared" si="169"/>
        <v/>
      </c>
      <c r="NV45" s="4" t="str">
        <f t="shared" si="170"/>
        <v/>
      </c>
      <c r="NW45" s="4" t="str">
        <f t="shared" si="171"/>
        <v/>
      </c>
      <c r="NX45" s="4" t="str">
        <f t="shared" si="172"/>
        <v/>
      </c>
      <c r="NY45" s="4" t="str">
        <f t="shared" si="173"/>
        <v/>
      </c>
      <c r="NZ45" s="4" t="str">
        <f t="shared" si="174"/>
        <v/>
      </c>
      <c r="OA45" s="4" t="str">
        <f t="shared" si="175"/>
        <v/>
      </c>
      <c r="OB45" s="4" t="str">
        <f t="shared" si="176"/>
        <v/>
      </c>
      <c r="OC45" s="4" t="str">
        <f t="shared" si="177"/>
        <v/>
      </c>
      <c r="OD45" s="4" t="str">
        <f t="shared" si="178"/>
        <v/>
      </c>
      <c r="OE45" s="4" t="str">
        <f t="shared" si="179"/>
        <v/>
      </c>
      <c r="OF45" s="4" t="str">
        <f t="shared" si="180"/>
        <v/>
      </c>
      <c r="OG45" s="4" t="str">
        <f t="shared" si="181"/>
        <v/>
      </c>
      <c r="OH45" s="4" t="str">
        <f t="shared" si="182"/>
        <v/>
      </c>
      <c r="OI45" s="4" t="str">
        <f t="shared" si="183"/>
        <v/>
      </c>
      <c r="OJ45" s="4" t="str">
        <f t="shared" si="184"/>
        <v/>
      </c>
      <c r="OK45" s="4" t="str">
        <f t="shared" si="185"/>
        <v/>
      </c>
      <c r="OL45" s="4" t="str">
        <f t="shared" si="186"/>
        <v/>
      </c>
      <c r="OM45" s="4" t="str">
        <f t="shared" si="187"/>
        <v/>
      </c>
      <c r="ON45" s="4" t="str">
        <f t="shared" si="188"/>
        <v/>
      </c>
      <c r="OO45" s="4" t="str">
        <f t="shared" si="189"/>
        <v/>
      </c>
      <c r="OP45" s="4" t="str">
        <f t="shared" si="190"/>
        <v/>
      </c>
      <c r="OQ45" s="4" t="str">
        <f t="shared" si="191"/>
        <v/>
      </c>
      <c r="OR45" s="4" t="str">
        <f t="shared" si="192"/>
        <v/>
      </c>
      <c r="OS45" s="4" t="str">
        <f t="shared" si="193"/>
        <v/>
      </c>
      <c r="OT45" s="4" t="str">
        <f t="shared" si="194"/>
        <v/>
      </c>
      <c r="OU45" s="4" t="str">
        <f t="shared" si="195"/>
        <v/>
      </c>
      <c r="OV45" s="4" t="str">
        <f t="shared" si="196"/>
        <v/>
      </c>
      <c r="OW45" s="4" t="str">
        <f t="shared" si="197"/>
        <v/>
      </c>
      <c r="OX45" s="4" t="str">
        <f t="shared" si="198"/>
        <v/>
      </c>
      <c r="OY45" s="4" t="str">
        <f t="shared" si="199"/>
        <v/>
      </c>
      <c r="OZ45" s="4" t="str">
        <f t="shared" si="200"/>
        <v/>
      </c>
      <c r="PA45" s="4" t="str">
        <f t="shared" si="201"/>
        <v/>
      </c>
      <c r="PB45" s="4" t="str">
        <f t="shared" si="202"/>
        <v/>
      </c>
      <c r="PC45" s="4" t="str">
        <f t="shared" si="203"/>
        <v/>
      </c>
      <c r="PD45" s="4" t="str">
        <f t="shared" si="204"/>
        <v/>
      </c>
      <c r="PE45" s="4" t="str">
        <f t="shared" si="205"/>
        <v/>
      </c>
      <c r="PF45" s="4" t="str">
        <f t="shared" si="206"/>
        <v/>
      </c>
      <c r="PG45" s="4" t="str">
        <f t="shared" si="207"/>
        <v/>
      </c>
      <c r="PH45" s="4" t="str">
        <f t="shared" si="208"/>
        <v/>
      </c>
      <c r="PI45" s="4" t="str">
        <f t="shared" si="209"/>
        <v/>
      </c>
      <c r="PJ45" s="4" t="str">
        <f t="shared" si="210"/>
        <v/>
      </c>
      <c r="PK45" s="4" t="str">
        <f t="shared" si="211"/>
        <v/>
      </c>
      <c r="PL45" s="4" t="str">
        <f t="shared" si="212"/>
        <v/>
      </c>
      <c r="PM45" s="4" t="str">
        <f t="shared" si="213"/>
        <v/>
      </c>
      <c r="PN45" s="4" t="str">
        <f t="shared" si="214"/>
        <v/>
      </c>
      <c r="PO45" s="4" t="str">
        <f t="shared" si="215"/>
        <v/>
      </c>
      <c r="PP45" s="4" t="str">
        <f t="shared" si="216"/>
        <v/>
      </c>
      <c r="PQ45" s="4" t="str">
        <f t="shared" si="217"/>
        <v/>
      </c>
      <c r="PR45" s="4" t="str">
        <f t="shared" si="218"/>
        <v/>
      </c>
      <c r="PS45" s="4" t="str">
        <f t="shared" si="219"/>
        <v/>
      </c>
    </row>
    <row r="46">
      <c r="HI46" s="4" t="str">
        <f t="shared" si="2"/>
        <v/>
      </c>
      <c r="HJ46" s="4" t="str">
        <f t="shared" si="3"/>
        <v/>
      </c>
      <c r="HK46" s="4" t="str">
        <f t="shared" si="4"/>
        <v/>
      </c>
      <c r="HL46" s="4" t="str">
        <f t="shared" si="5"/>
        <v/>
      </c>
      <c r="HM46" s="4" t="str">
        <f t="shared" si="6"/>
        <v/>
      </c>
      <c r="HN46" s="4" t="str">
        <f t="shared" si="7"/>
        <v/>
      </c>
      <c r="HO46" s="4" t="str">
        <f t="shared" si="8"/>
        <v/>
      </c>
      <c r="HP46" s="4" t="str">
        <f t="shared" si="9"/>
        <v/>
      </c>
      <c r="HQ46" s="4" t="str">
        <f t="shared" si="10"/>
        <v/>
      </c>
      <c r="HR46" s="4" t="str">
        <f t="shared" si="11"/>
        <v/>
      </c>
      <c r="HS46" s="4" t="str">
        <f t="shared" si="12"/>
        <v/>
      </c>
      <c r="HT46" s="4" t="str">
        <f t="shared" si="13"/>
        <v/>
      </c>
      <c r="HU46" s="4" t="str">
        <f t="shared" si="14"/>
        <v/>
      </c>
      <c r="HV46" s="4" t="str">
        <f t="shared" si="15"/>
        <v/>
      </c>
      <c r="HW46" s="4" t="str">
        <f t="shared" si="16"/>
        <v/>
      </c>
      <c r="HX46" s="4" t="str">
        <f t="shared" si="17"/>
        <v/>
      </c>
      <c r="HY46" s="4" t="str">
        <f t="shared" si="18"/>
        <v/>
      </c>
      <c r="HZ46" s="4" t="str">
        <f t="shared" si="19"/>
        <v/>
      </c>
      <c r="IA46" s="4" t="str">
        <f t="shared" si="20"/>
        <v/>
      </c>
      <c r="IB46" s="4" t="str">
        <f t="shared" si="21"/>
        <v/>
      </c>
      <c r="IC46" s="4" t="str">
        <f t="shared" si="22"/>
        <v/>
      </c>
      <c r="ID46" s="4" t="str">
        <f t="shared" si="23"/>
        <v/>
      </c>
      <c r="IE46" s="4" t="str">
        <f t="shared" si="24"/>
        <v/>
      </c>
      <c r="IF46" s="4" t="str">
        <f t="shared" si="25"/>
        <v/>
      </c>
      <c r="IG46" s="4" t="str">
        <f t="shared" si="26"/>
        <v/>
      </c>
      <c r="IH46" s="4" t="str">
        <f t="shared" si="27"/>
        <v/>
      </c>
      <c r="II46" s="4" t="str">
        <f t="shared" si="28"/>
        <v/>
      </c>
      <c r="IJ46" s="4" t="str">
        <f t="shared" si="29"/>
        <v/>
      </c>
      <c r="IK46" s="4" t="str">
        <f t="shared" si="30"/>
        <v/>
      </c>
      <c r="IL46" s="4" t="str">
        <f t="shared" si="31"/>
        <v/>
      </c>
      <c r="IM46" s="4" t="str">
        <f t="shared" si="32"/>
        <v/>
      </c>
      <c r="IN46" s="4" t="str">
        <f t="shared" si="33"/>
        <v/>
      </c>
      <c r="IO46" s="4" t="str">
        <f t="shared" si="34"/>
        <v/>
      </c>
      <c r="IP46" s="4" t="str">
        <f t="shared" si="35"/>
        <v/>
      </c>
      <c r="IQ46" s="4" t="str">
        <f t="shared" si="36"/>
        <v/>
      </c>
      <c r="IR46" s="4" t="str">
        <f t="shared" si="37"/>
        <v/>
      </c>
      <c r="IS46" s="4" t="str">
        <f t="shared" si="38"/>
        <v/>
      </c>
      <c r="IT46" s="4" t="str">
        <f t="shared" si="39"/>
        <v/>
      </c>
      <c r="IU46" s="4" t="str">
        <f t="shared" si="40"/>
        <v/>
      </c>
      <c r="IV46" s="4" t="str">
        <f t="shared" si="41"/>
        <v/>
      </c>
      <c r="IW46" s="4" t="str">
        <f t="shared" si="42"/>
        <v/>
      </c>
      <c r="IX46" s="4" t="str">
        <f t="shared" si="43"/>
        <v/>
      </c>
      <c r="IY46" s="4" t="str">
        <f t="shared" si="44"/>
        <v/>
      </c>
      <c r="IZ46" s="4" t="str">
        <f t="shared" si="45"/>
        <v/>
      </c>
      <c r="JA46" s="4" t="str">
        <f t="shared" ref="JA46:JB46" si="262">if(ISERROR(SEARCH("Higher Education",BB46)),"","810")</f>
        <v/>
      </c>
      <c r="JB46" s="4" t="str">
        <f t="shared" si="262"/>
        <v/>
      </c>
      <c r="JC46" s="4" t="str">
        <f t="shared" si="47"/>
        <v/>
      </c>
      <c r="JD46" s="4" t="str">
        <f t="shared" si="48"/>
        <v/>
      </c>
      <c r="JE46" s="4" t="str">
        <f t="shared" si="49"/>
        <v/>
      </c>
      <c r="JF46" s="4" t="str">
        <f t="shared" si="50"/>
        <v/>
      </c>
      <c r="JG46" s="4" t="str">
        <f t="shared" si="51"/>
        <v/>
      </c>
      <c r="JH46" s="4" t="str">
        <f t="shared" si="52"/>
        <v/>
      </c>
      <c r="JI46" s="4" t="str">
        <f t="shared" si="53"/>
        <v/>
      </c>
      <c r="JJ46" s="4" t="str">
        <f t="shared" si="54"/>
        <v/>
      </c>
      <c r="JK46" s="4" t="str">
        <f t="shared" si="55"/>
        <v/>
      </c>
      <c r="JL46" s="4" t="str">
        <f t="shared" si="56"/>
        <v/>
      </c>
      <c r="JM46" s="4" t="str">
        <f t="shared" si="57"/>
        <v/>
      </c>
      <c r="JN46" s="4" t="str">
        <f t="shared" si="58"/>
        <v/>
      </c>
      <c r="JO46" s="4" t="str">
        <f t="shared" si="59"/>
        <v/>
      </c>
      <c r="JP46" s="4" t="str">
        <f t="shared" si="60"/>
        <v/>
      </c>
      <c r="JQ46" s="4" t="str">
        <f t="shared" si="61"/>
        <v/>
      </c>
      <c r="JR46" s="4" t="str">
        <f t="shared" si="62"/>
        <v/>
      </c>
      <c r="JS46" s="4" t="str">
        <f t="shared" si="63"/>
        <v/>
      </c>
      <c r="JT46" s="4" t="str">
        <f t="shared" si="64"/>
        <v/>
      </c>
      <c r="JU46" s="4" t="str">
        <f t="shared" si="65"/>
        <v/>
      </c>
      <c r="JV46" s="4" t="str">
        <f t="shared" si="66"/>
        <v/>
      </c>
      <c r="JW46" s="4" t="str">
        <f t="shared" si="67"/>
        <v/>
      </c>
      <c r="JX46" s="4" t="str">
        <f t="shared" si="68"/>
        <v/>
      </c>
      <c r="JY46" s="4" t="str">
        <f t="shared" si="69"/>
        <v/>
      </c>
      <c r="JZ46" s="4" t="str">
        <f t="shared" si="70"/>
        <v/>
      </c>
      <c r="KA46" s="4" t="str">
        <f t="shared" si="71"/>
        <v/>
      </c>
      <c r="KB46" s="4" t="str">
        <f t="shared" si="72"/>
        <v/>
      </c>
      <c r="KC46" s="4" t="str">
        <f t="shared" si="73"/>
        <v/>
      </c>
      <c r="KD46" s="4" t="str">
        <f t="shared" si="74"/>
        <v/>
      </c>
      <c r="KE46" s="4" t="str">
        <f t="shared" si="75"/>
        <v/>
      </c>
      <c r="KF46" s="4" t="str">
        <f t="shared" si="76"/>
        <v/>
      </c>
      <c r="KG46" s="4" t="str">
        <f t="shared" si="77"/>
        <v/>
      </c>
      <c r="KH46" s="4" t="str">
        <f t="shared" si="78"/>
        <v/>
      </c>
      <c r="KI46" s="4" t="str">
        <f t="shared" si="79"/>
        <v/>
      </c>
      <c r="KJ46" s="4" t="str">
        <f t="shared" si="80"/>
        <v/>
      </c>
      <c r="KK46" s="4" t="str">
        <f t="shared" si="81"/>
        <v/>
      </c>
      <c r="KL46" s="4" t="str">
        <f t="shared" si="82"/>
        <v/>
      </c>
      <c r="KM46" s="4" t="str">
        <f t="shared" si="83"/>
        <v/>
      </c>
      <c r="KN46" s="4" t="str">
        <f t="shared" si="84"/>
        <v/>
      </c>
      <c r="KO46" s="4" t="str">
        <f t="shared" si="85"/>
        <v/>
      </c>
      <c r="KP46" s="4" t="str">
        <f t="shared" si="86"/>
        <v/>
      </c>
      <c r="KQ46" s="4" t="str">
        <f t="shared" si="87"/>
        <v/>
      </c>
      <c r="KR46" s="4" t="str">
        <f t="shared" si="88"/>
        <v/>
      </c>
      <c r="KS46" s="4" t="str">
        <f t="shared" si="89"/>
        <v/>
      </c>
      <c r="KT46" s="4" t="str">
        <f t="shared" si="90"/>
        <v/>
      </c>
      <c r="KU46" s="4" t="str">
        <f t="shared" si="91"/>
        <v/>
      </c>
      <c r="KV46" s="4" t="str">
        <f t="shared" si="92"/>
        <v/>
      </c>
      <c r="KW46" s="4" t="str">
        <f t="shared" si="93"/>
        <v/>
      </c>
      <c r="KX46" s="4" t="str">
        <f t="shared" si="94"/>
        <v/>
      </c>
      <c r="KY46" s="4" t="str">
        <f t="shared" si="95"/>
        <v/>
      </c>
      <c r="KZ46" s="4" t="str">
        <f t="shared" si="96"/>
        <v/>
      </c>
      <c r="LA46" s="4" t="str">
        <f t="shared" si="97"/>
        <v/>
      </c>
      <c r="LB46" s="4" t="str">
        <f t="shared" si="98"/>
        <v/>
      </c>
      <c r="LC46" s="4" t="str">
        <f t="shared" si="99"/>
        <v/>
      </c>
      <c r="LD46" s="4" t="str">
        <f t="shared" si="100"/>
        <v/>
      </c>
      <c r="LE46" s="4" t="str">
        <f t="shared" si="101"/>
        <v/>
      </c>
      <c r="LF46" s="4" t="str">
        <f t="shared" si="102"/>
        <v/>
      </c>
      <c r="LG46" s="4" t="str">
        <f t="shared" si="103"/>
        <v/>
      </c>
      <c r="LH46" s="4" t="str">
        <f t="shared" si="104"/>
        <v/>
      </c>
      <c r="LI46" s="4" t="str">
        <f t="shared" si="105"/>
        <v/>
      </c>
      <c r="LJ46" s="4" t="str">
        <f t="shared" si="106"/>
        <v/>
      </c>
      <c r="LK46" s="4" t="str">
        <f t="shared" si="107"/>
        <v/>
      </c>
      <c r="LL46" s="4" t="str">
        <f t="shared" si="108"/>
        <v/>
      </c>
      <c r="LM46" s="4" t="str">
        <f t="shared" si="109"/>
        <v/>
      </c>
      <c r="LN46" s="4" t="str">
        <f t="shared" si="110"/>
        <v/>
      </c>
      <c r="LO46" s="4" t="str">
        <f t="shared" si="111"/>
        <v/>
      </c>
      <c r="LP46" s="4" t="str">
        <f t="shared" si="112"/>
        <v/>
      </c>
      <c r="LQ46" s="4" t="str">
        <f t="shared" si="113"/>
        <v/>
      </c>
      <c r="LR46" s="4" t="str">
        <f t="shared" si="114"/>
        <v/>
      </c>
      <c r="LS46" s="4" t="str">
        <f t="shared" si="115"/>
        <v/>
      </c>
      <c r="LT46" s="4" t="str">
        <f t="shared" si="116"/>
        <v/>
      </c>
      <c r="LU46" s="4" t="str">
        <f t="shared" si="117"/>
        <v/>
      </c>
      <c r="LV46" s="4" t="str">
        <f t="shared" si="118"/>
        <v/>
      </c>
      <c r="LW46" s="4" t="str">
        <f t="shared" si="119"/>
        <v/>
      </c>
      <c r="LX46" s="4" t="str">
        <f t="shared" si="120"/>
        <v/>
      </c>
      <c r="LY46" s="4" t="str">
        <f t="shared" si="121"/>
        <v/>
      </c>
      <c r="LZ46" s="4" t="str">
        <f t="shared" si="122"/>
        <v/>
      </c>
      <c r="MA46" s="4" t="str">
        <f t="shared" si="123"/>
        <v/>
      </c>
      <c r="MB46" s="4" t="str">
        <f t="shared" si="124"/>
        <v/>
      </c>
      <c r="MC46" s="4" t="str">
        <f t="shared" si="125"/>
        <v/>
      </c>
      <c r="MD46" s="4" t="str">
        <f t="shared" si="126"/>
        <v/>
      </c>
      <c r="ME46" s="4" t="str">
        <f t="shared" si="127"/>
        <v/>
      </c>
      <c r="MF46" s="4" t="str">
        <f t="shared" si="128"/>
        <v/>
      </c>
      <c r="MG46" s="4" t="str">
        <f t="shared" si="129"/>
        <v/>
      </c>
      <c r="MH46" s="4" t="str">
        <f t="shared" si="130"/>
        <v/>
      </c>
      <c r="MI46" s="4" t="str">
        <f t="shared" si="131"/>
        <v/>
      </c>
      <c r="MJ46" s="4" t="str">
        <f t="shared" si="132"/>
        <v/>
      </c>
      <c r="MK46" s="4" t="str">
        <f t="shared" si="133"/>
        <v/>
      </c>
      <c r="ML46" s="4" t="str">
        <f t="shared" si="134"/>
        <v/>
      </c>
      <c r="MM46" s="4" t="str">
        <f t="shared" si="135"/>
        <v/>
      </c>
      <c r="MN46" s="4" t="str">
        <f t="shared" si="136"/>
        <v/>
      </c>
      <c r="MO46" s="4" t="str">
        <f t="shared" si="137"/>
        <v/>
      </c>
      <c r="MP46" s="4" t="str">
        <f t="shared" si="138"/>
        <v/>
      </c>
      <c r="MQ46" s="4" t="str">
        <f t="shared" si="139"/>
        <v/>
      </c>
      <c r="MR46" s="4" t="str">
        <f t="shared" si="140"/>
        <v/>
      </c>
      <c r="MS46" s="4" t="str">
        <f t="shared" si="141"/>
        <v/>
      </c>
      <c r="MT46" s="4" t="str">
        <f t="shared" si="142"/>
        <v/>
      </c>
      <c r="MU46" s="4" t="str">
        <f t="shared" si="143"/>
        <v/>
      </c>
      <c r="MV46" s="4" t="str">
        <f t="shared" si="144"/>
        <v/>
      </c>
      <c r="MW46" s="4" t="str">
        <f t="shared" si="145"/>
        <v/>
      </c>
      <c r="MX46" s="4" t="str">
        <f t="shared" si="146"/>
        <v/>
      </c>
      <c r="MY46" s="4" t="str">
        <f t="shared" si="147"/>
        <v/>
      </c>
      <c r="MZ46" s="4" t="str">
        <f t="shared" si="148"/>
        <v/>
      </c>
      <c r="NA46" s="4" t="str">
        <f t="shared" si="149"/>
        <v/>
      </c>
      <c r="NB46" s="4" t="str">
        <f t="shared" si="150"/>
        <v/>
      </c>
      <c r="NC46" s="4" t="str">
        <f t="shared" si="151"/>
        <v/>
      </c>
      <c r="ND46" s="4" t="str">
        <f t="shared" si="152"/>
        <v/>
      </c>
      <c r="NE46" s="4" t="str">
        <f t="shared" si="153"/>
        <v/>
      </c>
      <c r="NF46" s="4" t="str">
        <f t="shared" si="154"/>
        <v/>
      </c>
      <c r="NG46" s="4" t="str">
        <f t="shared" si="155"/>
        <v/>
      </c>
      <c r="NH46" s="4" t="str">
        <f t="shared" si="156"/>
        <v/>
      </c>
      <c r="NI46" s="4" t="str">
        <f t="shared" si="157"/>
        <v/>
      </c>
      <c r="NJ46" s="4" t="str">
        <f t="shared" si="158"/>
        <v/>
      </c>
      <c r="NK46" s="4" t="str">
        <f t="shared" si="159"/>
        <v/>
      </c>
      <c r="NL46" s="4" t="str">
        <f t="shared" si="160"/>
        <v/>
      </c>
      <c r="NM46" s="4" t="str">
        <f t="shared" si="161"/>
        <v/>
      </c>
      <c r="NN46" s="4" t="str">
        <f t="shared" si="162"/>
        <v/>
      </c>
      <c r="NO46" s="4" t="str">
        <f t="shared" si="163"/>
        <v/>
      </c>
      <c r="NP46" s="4" t="str">
        <f t="shared" si="164"/>
        <v/>
      </c>
      <c r="NQ46" s="4" t="str">
        <f t="shared" si="165"/>
        <v/>
      </c>
      <c r="NR46" s="4" t="str">
        <f t="shared" si="166"/>
        <v/>
      </c>
      <c r="NS46" s="4" t="str">
        <f t="shared" si="167"/>
        <v/>
      </c>
      <c r="NT46" s="4" t="str">
        <f t="shared" si="168"/>
        <v/>
      </c>
      <c r="NU46" s="4" t="str">
        <f t="shared" si="169"/>
        <v/>
      </c>
      <c r="NV46" s="4" t="str">
        <f t="shared" si="170"/>
        <v/>
      </c>
      <c r="NW46" s="4" t="str">
        <f t="shared" si="171"/>
        <v/>
      </c>
      <c r="NX46" s="4" t="str">
        <f t="shared" si="172"/>
        <v/>
      </c>
      <c r="NY46" s="4" t="str">
        <f t="shared" si="173"/>
        <v/>
      </c>
      <c r="NZ46" s="4" t="str">
        <f t="shared" si="174"/>
        <v/>
      </c>
      <c r="OA46" s="4" t="str">
        <f t="shared" si="175"/>
        <v/>
      </c>
      <c r="OB46" s="4" t="str">
        <f t="shared" si="176"/>
        <v/>
      </c>
      <c r="OC46" s="4" t="str">
        <f t="shared" si="177"/>
        <v/>
      </c>
      <c r="OD46" s="4" t="str">
        <f t="shared" si="178"/>
        <v/>
      </c>
      <c r="OE46" s="4" t="str">
        <f t="shared" si="179"/>
        <v/>
      </c>
      <c r="OF46" s="4" t="str">
        <f t="shared" si="180"/>
        <v/>
      </c>
      <c r="OG46" s="4" t="str">
        <f t="shared" si="181"/>
        <v/>
      </c>
      <c r="OH46" s="4" t="str">
        <f t="shared" si="182"/>
        <v/>
      </c>
      <c r="OI46" s="4" t="str">
        <f t="shared" si="183"/>
        <v/>
      </c>
      <c r="OJ46" s="4" t="str">
        <f t="shared" si="184"/>
        <v/>
      </c>
      <c r="OK46" s="4" t="str">
        <f t="shared" si="185"/>
        <v/>
      </c>
      <c r="OL46" s="4" t="str">
        <f t="shared" si="186"/>
        <v/>
      </c>
      <c r="OM46" s="4" t="str">
        <f t="shared" si="187"/>
        <v/>
      </c>
      <c r="ON46" s="4" t="str">
        <f t="shared" si="188"/>
        <v/>
      </c>
      <c r="OO46" s="4" t="str">
        <f t="shared" si="189"/>
        <v/>
      </c>
      <c r="OP46" s="4" t="str">
        <f t="shared" si="190"/>
        <v/>
      </c>
      <c r="OQ46" s="4" t="str">
        <f t="shared" si="191"/>
        <v/>
      </c>
      <c r="OR46" s="4" t="str">
        <f t="shared" si="192"/>
        <v/>
      </c>
      <c r="OS46" s="4" t="str">
        <f t="shared" si="193"/>
        <v/>
      </c>
      <c r="OT46" s="4" t="str">
        <f t="shared" si="194"/>
        <v/>
      </c>
      <c r="OU46" s="4" t="str">
        <f t="shared" si="195"/>
        <v/>
      </c>
      <c r="OV46" s="4" t="str">
        <f t="shared" si="196"/>
        <v/>
      </c>
      <c r="OW46" s="4" t="str">
        <f t="shared" si="197"/>
        <v/>
      </c>
      <c r="OX46" s="4" t="str">
        <f t="shared" si="198"/>
        <v/>
      </c>
      <c r="OY46" s="4" t="str">
        <f t="shared" si="199"/>
        <v/>
      </c>
      <c r="OZ46" s="4" t="str">
        <f t="shared" si="200"/>
        <v/>
      </c>
      <c r="PA46" s="4" t="str">
        <f t="shared" si="201"/>
        <v/>
      </c>
      <c r="PB46" s="4" t="str">
        <f t="shared" si="202"/>
        <v/>
      </c>
      <c r="PC46" s="4" t="str">
        <f t="shared" si="203"/>
        <v/>
      </c>
      <c r="PD46" s="4" t="str">
        <f t="shared" si="204"/>
        <v/>
      </c>
      <c r="PE46" s="4" t="str">
        <f t="shared" si="205"/>
        <v/>
      </c>
      <c r="PF46" s="4" t="str">
        <f t="shared" si="206"/>
        <v/>
      </c>
      <c r="PG46" s="4" t="str">
        <f t="shared" si="207"/>
        <v/>
      </c>
      <c r="PH46" s="4" t="str">
        <f t="shared" si="208"/>
        <v/>
      </c>
      <c r="PI46" s="4" t="str">
        <f t="shared" si="209"/>
        <v/>
      </c>
      <c r="PJ46" s="4" t="str">
        <f t="shared" si="210"/>
        <v/>
      </c>
      <c r="PK46" s="4" t="str">
        <f t="shared" si="211"/>
        <v/>
      </c>
      <c r="PL46" s="4" t="str">
        <f t="shared" si="212"/>
        <v/>
      </c>
      <c r="PM46" s="4" t="str">
        <f t="shared" si="213"/>
        <v/>
      </c>
      <c r="PN46" s="4" t="str">
        <f t="shared" si="214"/>
        <v/>
      </c>
      <c r="PO46" s="4" t="str">
        <f t="shared" si="215"/>
        <v/>
      </c>
      <c r="PP46" s="4" t="str">
        <f t="shared" si="216"/>
        <v/>
      </c>
      <c r="PQ46" s="4" t="str">
        <f t="shared" si="217"/>
        <v/>
      </c>
      <c r="PR46" s="4" t="str">
        <f t="shared" si="218"/>
        <v/>
      </c>
      <c r="PS46" s="4" t="str">
        <f t="shared" si="219"/>
        <v/>
      </c>
    </row>
    <row r="47">
      <c r="HI47" s="4" t="str">
        <f t="shared" si="2"/>
        <v/>
      </c>
      <c r="HJ47" s="4" t="str">
        <f t="shared" si="3"/>
        <v/>
      </c>
      <c r="HK47" s="4" t="str">
        <f t="shared" si="4"/>
        <v/>
      </c>
      <c r="HL47" s="4" t="str">
        <f t="shared" si="5"/>
        <v/>
      </c>
      <c r="HM47" s="4" t="str">
        <f t="shared" si="6"/>
        <v/>
      </c>
      <c r="HN47" s="4" t="str">
        <f t="shared" si="7"/>
        <v/>
      </c>
      <c r="HO47" s="4" t="str">
        <f t="shared" si="8"/>
        <v/>
      </c>
      <c r="HP47" s="4" t="str">
        <f t="shared" si="9"/>
        <v/>
      </c>
      <c r="HQ47" s="4" t="str">
        <f t="shared" si="10"/>
        <v/>
      </c>
      <c r="HR47" s="4" t="str">
        <f t="shared" si="11"/>
        <v/>
      </c>
      <c r="HS47" s="4" t="str">
        <f t="shared" si="12"/>
        <v/>
      </c>
      <c r="HT47" s="4" t="str">
        <f t="shared" si="13"/>
        <v/>
      </c>
      <c r="HU47" s="4" t="str">
        <f t="shared" si="14"/>
        <v/>
      </c>
      <c r="HV47" s="4" t="str">
        <f t="shared" si="15"/>
        <v/>
      </c>
      <c r="HW47" s="4" t="str">
        <f t="shared" si="16"/>
        <v/>
      </c>
      <c r="HX47" s="4" t="str">
        <f t="shared" si="17"/>
        <v/>
      </c>
      <c r="HY47" s="4" t="str">
        <f t="shared" si="18"/>
        <v/>
      </c>
      <c r="HZ47" s="4" t="str">
        <f t="shared" si="19"/>
        <v/>
      </c>
      <c r="IA47" s="4" t="str">
        <f t="shared" si="20"/>
        <v/>
      </c>
      <c r="IB47" s="4" t="str">
        <f t="shared" si="21"/>
        <v/>
      </c>
      <c r="IC47" s="4" t="str">
        <f t="shared" si="22"/>
        <v/>
      </c>
      <c r="ID47" s="4" t="str">
        <f t="shared" si="23"/>
        <v/>
      </c>
      <c r="IE47" s="4" t="str">
        <f t="shared" si="24"/>
        <v/>
      </c>
      <c r="IF47" s="4" t="str">
        <f t="shared" si="25"/>
        <v/>
      </c>
      <c r="IG47" s="4" t="str">
        <f t="shared" si="26"/>
        <v/>
      </c>
      <c r="IH47" s="4" t="str">
        <f t="shared" si="27"/>
        <v/>
      </c>
      <c r="II47" s="4" t="str">
        <f t="shared" si="28"/>
        <v/>
      </c>
      <c r="IJ47" s="4" t="str">
        <f t="shared" si="29"/>
        <v/>
      </c>
      <c r="IK47" s="4" t="str">
        <f t="shared" si="30"/>
        <v/>
      </c>
      <c r="IL47" s="4" t="str">
        <f t="shared" si="31"/>
        <v/>
      </c>
      <c r="IM47" s="4" t="str">
        <f t="shared" si="32"/>
        <v/>
      </c>
      <c r="IN47" s="4" t="str">
        <f t="shared" si="33"/>
        <v/>
      </c>
      <c r="IO47" s="4" t="str">
        <f t="shared" si="34"/>
        <v/>
      </c>
      <c r="IP47" s="4" t="str">
        <f t="shared" si="35"/>
        <v/>
      </c>
      <c r="IQ47" s="4" t="str">
        <f t="shared" si="36"/>
        <v/>
      </c>
      <c r="IR47" s="4" t="str">
        <f t="shared" si="37"/>
        <v/>
      </c>
      <c r="IS47" s="4" t="str">
        <f t="shared" si="38"/>
        <v/>
      </c>
      <c r="IT47" s="4" t="str">
        <f t="shared" si="39"/>
        <v/>
      </c>
      <c r="IU47" s="4" t="str">
        <f t="shared" si="40"/>
        <v/>
      </c>
      <c r="IV47" s="4" t="str">
        <f t="shared" si="41"/>
        <v/>
      </c>
      <c r="IW47" s="4" t="str">
        <f t="shared" si="42"/>
        <v/>
      </c>
      <c r="IX47" s="4" t="str">
        <f t="shared" si="43"/>
        <v/>
      </c>
      <c r="IY47" s="4" t="str">
        <f t="shared" si="44"/>
        <v/>
      </c>
      <c r="IZ47" s="4" t="str">
        <f t="shared" si="45"/>
        <v/>
      </c>
      <c r="JA47" s="4" t="str">
        <f t="shared" ref="JA47:JB47" si="263">if(ISERROR(SEARCH("Higher Education",BB47)),"","810")</f>
        <v/>
      </c>
      <c r="JB47" s="4" t="str">
        <f t="shared" si="263"/>
        <v/>
      </c>
      <c r="JC47" s="4" t="str">
        <f t="shared" si="47"/>
        <v/>
      </c>
      <c r="JD47" s="4" t="str">
        <f t="shared" si="48"/>
        <v/>
      </c>
      <c r="JE47" s="4" t="str">
        <f t="shared" si="49"/>
        <v/>
      </c>
      <c r="JF47" s="4" t="str">
        <f t="shared" si="50"/>
        <v/>
      </c>
      <c r="JG47" s="4" t="str">
        <f t="shared" si="51"/>
        <v/>
      </c>
      <c r="JH47" s="4" t="str">
        <f t="shared" si="52"/>
        <v/>
      </c>
      <c r="JI47" s="4" t="str">
        <f t="shared" si="53"/>
        <v/>
      </c>
      <c r="JJ47" s="4" t="str">
        <f t="shared" si="54"/>
        <v/>
      </c>
      <c r="JK47" s="4" t="str">
        <f t="shared" si="55"/>
        <v/>
      </c>
      <c r="JL47" s="4" t="str">
        <f t="shared" si="56"/>
        <v/>
      </c>
      <c r="JM47" s="4" t="str">
        <f t="shared" si="57"/>
        <v/>
      </c>
      <c r="JN47" s="4" t="str">
        <f t="shared" si="58"/>
        <v/>
      </c>
      <c r="JO47" s="4" t="str">
        <f t="shared" si="59"/>
        <v/>
      </c>
      <c r="JP47" s="4" t="str">
        <f t="shared" si="60"/>
        <v/>
      </c>
      <c r="JQ47" s="4" t="str">
        <f t="shared" si="61"/>
        <v/>
      </c>
      <c r="JR47" s="4" t="str">
        <f t="shared" si="62"/>
        <v/>
      </c>
      <c r="JS47" s="4" t="str">
        <f t="shared" si="63"/>
        <v/>
      </c>
      <c r="JT47" s="4" t="str">
        <f t="shared" si="64"/>
        <v/>
      </c>
      <c r="JU47" s="4" t="str">
        <f t="shared" si="65"/>
        <v/>
      </c>
      <c r="JV47" s="4" t="str">
        <f t="shared" si="66"/>
        <v/>
      </c>
      <c r="JW47" s="4" t="str">
        <f t="shared" si="67"/>
        <v/>
      </c>
      <c r="JX47" s="4" t="str">
        <f t="shared" si="68"/>
        <v/>
      </c>
      <c r="JY47" s="4" t="str">
        <f t="shared" si="69"/>
        <v/>
      </c>
      <c r="JZ47" s="4" t="str">
        <f t="shared" si="70"/>
        <v/>
      </c>
      <c r="KA47" s="4" t="str">
        <f t="shared" si="71"/>
        <v/>
      </c>
      <c r="KB47" s="4" t="str">
        <f t="shared" si="72"/>
        <v/>
      </c>
      <c r="KC47" s="4" t="str">
        <f t="shared" si="73"/>
        <v/>
      </c>
      <c r="KD47" s="4" t="str">
        <f t="shared" si="74"/>
        <v/>
      </c>
      <c r="KE47" s="4" t="str">
        <f t="shared" si="75"/>
        <v/>
      </c>
      <c r="KF47" s="4" t="str">
        <f t="shared" si="76"/>
        <v/>
      </c>
      <c r="KG47" s="4" t="str">
        <f t="shared" si="77"/>
        <v/>
      </c>
      <c r="KH47" s="4" t="str">
        <f t="shared" si="78"/>
        <v/>
      </c>
      <c r="KI47" s="4" t="str">
        <f t="shared" si="79"/>
        <v/>
      </c>
      <c r="KJ47" s="4" t="str">
        <f t="shared" si="80"/>
        <v/>
      </c>
      <c r="KK47" s="4" t="str">
        <f t="shared" si="81"/>
        <v/>
      </c>
      <c r="KL47" s="4" t="str">
        <f t="shared" si="82"/>
        <v/>
      </c>
      <c r="KM47" s="4" t="str">
        <f t="shared" si="83"/>
        <v/>
      </c>
      <c r="KN47" s="4" t="str">
        <f t="shared" si="84"/>
        <v/>
      </c>
      <c r="KO47" s="4" t="str">
        <f t="shared" si="85"/>
        <v/>
      </c>
      <c r="KP47" s="4" t="str">
        <f t="shared" si="86"/>
        <v/>
      </c>
      <c r="KQ47" s="4" t="str">
        <f t="shared" si="87"/>
        <v/>
      </c>
      <c r="KR47" s="4" t="str">
        <f t="shared" si="88"/>
        <v/>
      </c>
      <c r="KS47" s="4" t="str">
        <f t="shared" si="89"/>
        <v/>
      </c>
      <c r="KT47" s="4" t="str">
        <f t="shared" si="90"/>
        <v/>
      </c>
      <c r="KU47" s="4" t="str">
        <f t="shared" si="91"/>
        <v/>
      </c>
      <c r="KV47" s="4" t="str">
        <f t="shared" si="92"/>
        <v/>
      </c>
      <c r="KW47" s="4" t="str">
        <f t="shared" si="93"/>
        <v/>
      </c>
      <c r="KX47" s="4" t="str">
        <f t="shared" si="94"/>
        <v/>
      </c>
      <c r="KY47" s="4" t="str">
        <f t="shared" si="95"/>
        <v/>
      </c>
      <c r="KZ47" s="4" t="str">
        <f t="shared" si="96"/>
        <v/>
      </c>
      <c r="LA47" s="4" t="str">
        <f t="shared" si="97"/>
        <v/>
      </c>
      <c r="LB47" s="4" t="str">
        <f t="shared" si="98"/>
        <v/>
      </c>
      <c r="LC47" s="4" t="str">
        <f t="shared" si="99"/>
        <v/>
      </c>
      <c r="LD47" s="4" t="str">
        <f t="shared" si="100"/>
        <v/>
      </c>
      <c r="LE47" s="4" t="str">
        <f t="shared" si="101"/>
        <v/>
      </c>
      <c r="LF47" s="4" t="str">
        <f t="shared" si="102"/>
        <v/>
      </c>
      <c r="LG47" s="4" t="str">
        <f t="shared" si="103"/>
        <v/>
      </c>
      <c r="LH47" s="4" t="str">
        <f t="shared" si="104"/>
        <v/>
      </c>
      <c r="LI47" s="4" t="str">
        <f t="shared" si="105"/>
        <v/>
      </c>
      <c r="LJ47" s="4" t="str">
        <f t="shared" si="106"/>
        <v/>
      </c>
      <c r="LK47" s="4" t="str">
        <f t="shared" si="107"/>
        <v/>
      </c>
      <c r="LL47" s="4" t="str">
        <f t="shared" si="108"/>
        <v/>
      </c>
      <c r="LM47" s="4" t="str">
        <f t="shared" si="109"/>
        <v/>
      </c>
      <c r="LN47" s="4" t="str">
        <f t="shared" si="110"/>
        <v/>
      </c>
      <c r="LO47" s="4" t="str">
        <f t="shared" si="111"/>
        <v/>
      </c>
      <c r="LP47" s="4" t="str">
        <f t="shared" si="112"/>
        <v/>
      </c>
      <c r="LQ47" s="4" t="str">
        <f t="shared" si="113"/>
        <v/>
      </c>
      <c r="LR47" s="4" t="str">
        <f t="shared" si="114"/>
        <v/>
      </c>
      <c r="LS47" s="4" t="str">
        <f t="shared" si="115"/>
        <v/>
      </c>
      <c r="LT47" s="4" t="str">
        <f t="shared" si="116"/>
        <v/>
      </c>
      <c r="LU47" s="4" t="str">
        <f t="shared" si="117"/>
        <v/>
      </c>
      <c r="LV47" s="4" t="str">
        <f t="shared" si="118"/>
        <v/>
      </c>
      <c r="LW47" s="4" t="str">
        <f t="shared" si="119"/>
        <v/>
      </c>
      <c r="LX47" s="4" t="str">
        <f t="shared" si="120"/>
        <v/>
      </c>
      <c r="LY47" s="4" t="str">
        <f t="shared" si="121"/>
        <v/>
      </c>
      <c r="LZ47" s="4" t="str">
        <f t="shared" si="122"/>
        <v/>
      </c>
      <c r="MA47" s="4" t="str">
        <f t="shared" si="123"/>
        <v/>
      </c>
      <c r="MB47" s="4" t="str">
        <f t="shared" si="124"/>
        <v/>
      </c>
      <c r="MC47" s="4" t="str">
        <f t="shared" si="125"/>
        <v/>
      </c>
      <c r="MD47" s="4" t="str">
        <f t="shared" si="126"/>
        <v/>
      </c>
      <c r="ME47" s="4" t="str">
        <f t="shared" si="127"/>
        <v/>
      </c>
      <c r="MF47" s="4" t="str">
        <f t="shared" si="128"/>
        <v/>
      </c>
      <c r="MG47" s="4" t="str">
        <f t="shared" si="129"/>
        <v/>
      </c>
      <c r="MH47" s="4" t="str">
        <f t="shared" si="130"/>
        <v/>
      </c>
      <c r="MI47" s="4" t="str">
        <f t="shared" si="131"/>
        <v/>
      </c>
      <c r="MJ47" s="4" t="str">
        <f t="shared" si="132"/>
        <v/>
      </c>
      <c r="MK47" s="4" t="str">
        <f t="shared" si="133"/>
        <v/>
      </c>
      <c r="ML47" s="4" t="str">
        <f t="shared" si="134"/>
        <v/>
      </c>
      <c r="MM47" s="4" t="str">
        <f t="shared" si="135"/>
        <v/>
      </c>
      <c r="MN47" s="4" t="str">
        <f t="shared" si="136"/>
        <v/>
      </c>
      <c r="MO47" s="4" t="str">
        <f t="shared" si="137"/>
        <v/>
      </c>
      <c r="MP47" s="4" t="str">
        <f t="shared" si="138"/>
        <v/>
      </c>
      <c r="MQ47" s="4" t="str">
        <f t="shared" si="139"/>
        <v/>
      </c>
      <c r="MR47" s="4" t="str">
        <f t="shared" si="140"/>
        <v/>
      </c>
      <c r="MS47" s="4" t="str">
        <f t="shared" si="141"/>
        <v/>
      </c>
      <c r="MT47" s="4" t="str">
        <f t="shared" si="142"/>
        <v/>
      </c>
      <c r="MU47" s="4" t="str">
        <f t="shared" si="143"/>
        <v/>
      </c>
      <c r="MV47" s="4" t="str">
        <f t="shared" si="144"/>
        <v/>
      </c>
      <c r="MW47" s="4" t="str">
        <f t="shared" si="145"/>
        <v/>
      </c>
      <c r="MX47" s="4" t="str">
        <f t="shared" si="146"/>
        <v/>
      </c>
      <c r="MY47" s="4" t="str">
        <f t="shared" si="147"/>
        <v/>
      </c>
      <c r="MZ47" s="4" t="str">
        <f t="shared" si="148"/>
        <v/>
      </c>
      <c r="NA47" s="4" t="str">
        <f t="shared" si="149"/>
        <v/>
      </c>
      <c r="NB47" s="4" t="str">
        <f t="shared" si="150"/>
        <v/>
      </c>
      <c r="NC47" s="4" t="str">
        <f t="shared" si="151"/>
        <v/>
      </c>
      <c r="ND47" s="4" t="str">
        <f t="shared" si="152"/>
        <v/>
      </c>
      <c r="NE47" s="4" t="str">
        <f t="shared" si="153"/>
        <v/>
      </c>
      <c r="NF47" s="4" t="str">
        <f t="shared" si="154"/>
        <v/>
      </c>
      <c r="NG47" s="4" t="str">
        <f t="shared" si="155"/>
        <v/>
      </c>
      <c r="NH47" s="4" t="str">
        <f t="shared" si="156"/>
        <v/>
      </c>
      <c r="NI47" s="4" t="str">
        <f t="shared" si="157"/>
        <v/>
      </c>
      <c r="NJ47" s="4" t="str">
        <f t="shared" si="158"/>
        <v/>
      </c>
      <c r="NK47" s="4" t="str">
        <f t="shared" si="159"/>
        <v/>
      </c>
      <c r="NL47" s="4" t="str">
        <f t="shared" si="160"/>
        <v/>
      </c>
      <c r="NM47" s="4" t="str">
        <f t="shared" si="161"/>
        <v/>
      </c>
      <c r="NN47" s="4" t="str">
        <f t="shared" si="162"/>
        <v/>
      </c>
      <c r="NO47" s="4" t="str">
        <f t="shared" si="163"/>
        <v/>
      </c>
      <c r="NP47" s="4" t="str">
        <f t="shared" si="164"/>
        <v/>
      </c>
      <c r="NQ47" s="4" t="str">
        <f t="shared" si="165"/>
        <v/>
      </c>
      <c r="NR47" s="4" t="str">
        <f t="shared" si="166"/>
        <v/>
      </c>
      <c r="NS47" s="4" t="str">
        <f t="shared" si="167"/>
        <v/>
      </c>
      <c r="NT47" s="4" t="str">
        <f t="shared" si="168"/>
        <v/>
      </c>
      <c r="NU47" s="4" t="str">
        <f t="shared" si="169"/>
        <v/>
      </c>
      <c r="NV47" s="4" t="str">
        <f t="shared" si="170"/>
        <v/>
      </c>
      <c r="NW47" s="4" t="str">
        <f t="shared" si="171"/>
        <v/>
      </c>
      <c r="NX47" s="4" t="str">
        <f t="shared" si="172"/>
        <v/>
      </c>
      <c r="NY47" s="4" t="str">
        <f t="shared" si="173"/>
        <v/>
      </c>
      <c r="NZ47" s="4" t="str">
        <f t="shared" si="174"/>
        <v/>
      </c>
      <c r="OA47" s="4" t="str">
        <f t="shared" si="175"/>
        <v/>
      </c>
      <c r="OB47" s="4" t="str">
        <f t="shared" si="176"/>
        <v/>
      </c>
      <c r="OC47" s="4" t="str">
        <f t="shared" si="177"/>
        <v/>
      </c>
      <c r="OD47" s="4" t="str">
        <f t="shared" si="178"/>
        <v/>
      </c>
      <c r="OE47" s="4" t="str">
        <f t="shared" si="179"/>
        <v/>
      </c>
      <c r="OF47" s="4" t="str">
        <f t="shared" si="180"/>
        <v/>
      </c>
      <c r="OG47" s="4" t="str">
        <f t="shared" si="181"/>
        <v/>
      </c>
      <c r="OH47" s="4" t="str">
        <f t="shared" si="182"/>
        <v/>
      </c>
      <c r="OI47" s="4" t="str">
        <f t="shared" si="183"/>
        <v/>
      </c>
      <c r="OJ47" s="4" t="str">
        <f t="shared" si="184"/>
        <v/>
      </c>
      <c r="OK47" s="4" t="str">
        <f t="shared" si="185"/>
        <v/>
      </c>
      <c r="OL47" s="4" t="str">
        <f t="shared" si="186"/>
        <v/>
      </c>
      <c r="OM47" s="4" t="str">
        <f t="shared" si="187"/>
        <v/>
      </c>
      <c r="ON47" s="4" t="str">
        <f t="shared" si="188"/>
        <v/>
      </c>
      <c r="OO47" s="4" t="str">
        <f t="shared" si="189"/>
        <v/>
      </c>
      <c r="OP47" s="4" t="str">
        <f t="shared" si="190"/>
        <v/>
      </c>
      <c r="OQ47" s="4" t="str">
        <f t="shared" si="191"/>
        <v/>
      </c>
      <c r="OR47" s="4" t="str">
        <f t="shared" si="192"/>
        <v/>
      </c>
      <c r="OS47" s="4" t="str">
        <f t="shared" si="193"/>
        <v/>
      </c>
      <c r="OT47" s="4" t="str">
        <f t="shared" si="194"/>
        <v/>
      </c>
      <c r="OU47" s="4" t="str">
        <f t="shared" si="195"/>
        <v/>
      </c>
      <c r="OV47" s="4" t="str">
        <f t="shared" si="196"/>
        <v/>
      </c>
      <c r="OW47" s="4" t="str">
        <f t="shared" si="197"/>
        <v/>
      </c>
      <c r="OX47" s="4" t="str">
        <f t="shared" si="198"/>
        <v/>
      </c>
      <c r="OY47" s="4" t="str">
        <f t="shared" si="199"/>
        <v/>
      </c>
      <c r="OZ47" s="4" t="str">
        <f t="shared" si="200"/>
        <v/>
      </c>
      <c r="PA47" s="4" t="str">
        <f t="shared" si="201"/>
        <v/>
      </c>
      <c r="PB47" s="4" t="str">
        <f t="shared" si="202"/>
        <v/>
      </c>
      <c r="PC47" s="4" t="str">
        <f t="shared" si="203"/>
        <v/>
      </c>
      <c r="PD47" s="4" t="str">
        <f t="shared" si="204"/>
        <v/>
      </c>
      <c r="PE47" s="4" t="str">
        <f t="shared" si="205"/>
        <v/>
      </c>
      <c r="PF47" s="4" t="str">
        <f t="shared" si="206"/>
        <v/>
      </c>
      <c r="PG47" s="4" t="str">
        <f t="shared" si="207"/>
        <v/>
      </c>
      <c r="PH47" s="4" t="str">
        <f t="shared" si="208"/>
        <v/>
      </c>
      <c r="PI47" s="4" t="str">
        <f t="shared" si="209"/>
        <v/>
      </c>
      <c r="PJ47" s="4" t="str">
        <f t="shared" si="210"/>
        <v/>
      </c>
      <c r="PK47" s="4" t="str">
        <f t="shared" si="211"/>
        <v/>
      </c>
      <c r="PL47" s="4" t="str">
        <f t="shared" si="212"/>
        <v/>
      </c>
      <c r="PM47" s="4" t="str">
        <f t="shared" si="213"/>
        <v/>
      </c>
      <c r="PN47" s="4" t="str">
        <f t="shared" si="214"/>
        <v/>
      </c>
      <c r="PO47" s="4" t="str">
        <f t="shared" si="215"/>
        <v/>
      </c>
      <c r="PP47" s="4" t="str">
        <f t="shared" si="216"/>
        <v/>
      </c>
      <c r="PQ47" s="4" t="str">
        <f t="shared" si="217"/>
        <v/>
      </c>
      <c r="PR47" s="4" t="str">
        <f t="shared" si="218"/>
        <v/>
      </c>
      <c r="PS47" s="4" t="str">
        <f t="shared" si="219"/>
        <v/>
      </c>
    </row>
    <row r="48">
      <c r="HI48" s="4" t="str">
        <f t="shared" si="2"/>
        <v/>
      </c>
      <c r="HJ48" s="4" t="str">
        <f t="shared" si="3"/>
        <v/>
      </c>
      <c r="HK48" s="4" t="str">
        <f t="shared" si="4"/>
        <v/>
      </c>
      <c r="HL48" s="4" t="str">
        <f t="shared" si="5"/>
        <v/>
      </c>
      <c r="HM48" s="4" t="str">
        <f t="shared" si="6"/>
        <v/>
      </c>
      <c r="HN48" s="4" t="str">
        <f t="shared" si="7"/>
        <v/>
      </c>
      <c r="HO48" s="4" t="str">
        <f t="shared" si="8"/>
        <v/>
      </c>
      <c r="HP48" s="4" t="str">
        <f t="shared" si="9"/>
        <v/>
      </c>
      <c r="HQ48" s="4" t="str">
        <f t="shared" si="10"/>
        <v/>
      </c>
      <c r="HR48" s="4" t="str">
        <f t="shared" si="11"/>
        <v/>
      </c>
      <c r="HS48" s="4" t="str">
        <f t="shared" si="12"/>
        <v/>
      </c>
      <c r="HT48" s="4" t="str">
        <f t="shared" si="13"/>
        <v/>
      </c>
      <c r="HU48" s="4" t="str">
        <f t="shared" si="14"/>
        <v/>
      </c>
      <c r="HV48" s="4" t="str">
        <f t="shared" si="15"/>
        <v/>
      </c>
      <c r="HW48" s="4" t="str">
        <f t="shared" si="16"/>
        <v/>
      </c>
      <c r="HX48" s="4" t="str">
        <f t="shared" si="17"/>
        <v/>
      </c>
      <c r="HY48" s="4" t="str">
        <f t="shared" si="18"/>
        <v/>
      </c>
      <c r="HZ48" s="4" t="str">
        <f t="shared" si="19"/>
        <v/>
      </c>
      <c r="IA48" s="4" t="str">
        <f t="shared" si="20"/>
        <v/>
      </c>
      <c r="IB48" s="4" t="str">
        <f t="shared" si="21"/>
        <v/>
      </c>
      <c r="IC48" s="4" t="str">
        <f t="shared" si="22"/>
        <v/>
      </c>
      <c r="ID48" s="4" t="str">
        <f t="shared" si="23"/>
        <v/>
      </c>
      <c r="IE48" s="4" t="str">
        <f t="shared" si="24"/>
        <v/>
      </c>
      <c r="IF48" s="4" t="str">
        <f t="shared" si="25"/>
        <v/>
      </c>
      <c r="IG48" s="4" t="str">
        <f t="shared" si="26"/>
        <v/>
      </c>
      <c r="IH48" s="4" t="str">
        <f t="shared" si="27"/>
        <v/>
      </c>
      <c r="II48" s="4" t="str">
        <f t="shared" si="28"/>
        <v/>
      </c>
      <c r="IJ48" s="4" t="str">
        <f t="shared" si="29"/>
        <v/>
      </c>
      <c r="IK48" s="4" t="str">
        <f t="shared" si="30"/>
        <v/>
      </c>
      <c r="IL48" s="4" t="str">
        <f t="shared" si="31"/>
        <v/>
      </c>
      <c r="IM48" s="4" t="str">
        <f t="shared" si="32"/>
        <v/>
      </c>
      <c r="IN48" s="4" t="str">
        <f t="shared" si="33"/>
        <v/>
      </c>
      <c r="IO48" s="4" t="str">
        <f t="shared" si="34"/>
        <v/>
      </c>
      <c r="IP48" s="4" t="str">
        <f t="shared" si="35"/>
        <v/>
      </c>
      <c r="IQ48" s="4" t="str">
        <f t="shared" si="36"/>
        <v/>
      </c>
      <c r="IR48" s="4" t="str">
        <f t="shared" si="37"/>
        <v/>
      </c>
      <c r="IS48" s="4" t="str">
        <f t="shared" si="38"/>
        <v/>
      </c>
      <c r="IT48" s="4" t="str">
        <f t="shared" si="39"/>
        <v/>
      </c>
      <c r="IU48" s="4" t="str">
        <f t="shared" si="40"/>
        <v/>
      </c>
      <c r="IV48" s="4" t="str">
        <f t="shared" si="41"/>
        <v/>
      </c>
      <c r="IW48" s="4" t="str">
        <f t="shared" si="42"/>
        <v/>
      </c>
      <c r="IX48" s="4" t="str">
        <f t="shared" si="43"/>
        <v/>
      </c>
      <c r="IY48" s="4" t="str">
        <f t="shared" si="44"/>
        <v/>
      </c>
      <c r="IZ48" s="4" t="str">
        <f t="shared" si="45"/>
        <v/>
      </c>
      <c r="JA48" s="4" t="str">
        <f t="shared" ref="JA48:JB48" si="264">if(ISERROR(SEARCH("Higher Education",BB48)),"","810")</f>
        <v/>
      </c>
      <c r="JB48" s="4" t="str">
        <f t="shared" si="264"/>
        <v/>
      </c>
      <c r="JC48" s="4" t="str">
        <f t="shared" si="47"/>
        <v/>
      </c>
      <c r="JD48" s="4" t="str">
        <f t="shared" si="48"/>
        <v/>
      </c>
      <c r="JE48" s="4" t="str">
        <f t="shared" si="49"/>
        <v/>
      </c>
      <c r="JF48" s="4" t="str">
        <f t="shared" si="50"/>
        <v/>
      </c>
      <c r="JG48" s="4" t="str">
        <f t="shared" si="51"/>
        <v/>
      </c>
      <c r="JH48" s="4" t="str">
        <f t="shared" si="52"/>
        <v/>
      </c>
      <c r="JI48" s="4" t="str">
        <f t="shared" si="53"/>
        <v/>
      </c>
      <c r="JJ48" s="4" t="str">
        <f t="shared" si="54"/>
        <v/>
      </c>
      <c r="JK48" s="4" t="str">
        <f t="shared" si="55"/>
        <v/>
      </c>
      <c r="JL48" s="4" t="str">
        <f t="shared" si="56"/>
        <v/>
      </c>
      <c r="JM48" s="4" t="str">
        <f t="shared" si="57"/>
        <v/>
      </c>
      <c r="JN48" s="4" t="str">
        <f t="shared" si="58"/>
        <v/>
      </c>
      <c r="JO48" s="4" t="str">
        <f t="shared" si="59"/>
        <v/>
      </c>
      <c r="JP48" s="4" t="str">
        <f t="shared" si="60"/>
        <v/>
      </c>
      <c r="JQ48" s="4" t="str">
        <f t="shared" si="61"/>
        <v/>
      </c>
      <c r="JR48" s="4" t="str">
        <f t="shared" si="62"/>
        <v/>
      </c>
      <c r="JS48" s="4" t="str">
        <f t="shared" si="63"/>
        <v/>
      </c>
      <c r="JT48" s="4" t="str">
        <f t="shared" si="64"/>
        <v/>
      </c>
      <c r="JU48" s="4" t="str">
        <f t="shared" si="65"/>
        <v/>
      </c>
      <c r="JV48" s="4" t="str">
        <f t="shared" si="66"/>
        <v/>
      </c>
      <c r="JW48" s="4" t="str">
        <f t="shared" si="67"/>
        <v/>
      </c>
      <c r="JX48" s="4" t="str">
        <f t="shared" si="68"/>
        <v/>
      </c>
      <c r="JY48" s="4" t="str">
        <f t="shared" si="69"/>
        <v/>
      </c>
      <c r="JZ48" s="4" t="str">
        <f t="shared" si="70"/>
        <v/>
      </c>
      <c r="KA48" s="4" t="str">
        <f t="shared" si="71"/>
        <v/>
      </c>
      <c r="KB48" s="4" t="str">
        <f t="shared" si="72"/>
        <v/>
      </c>
      <c r="KC48" s="4" t="str">
        <f t="shared" si="73"/>
        <v/>
      </c>
      <c r="KD48" s="4" t="str">
        <f t="shared" si="74"/>
        <v/>
      </c>
      <c r="KE48" s="4" t="str">
        <f t="shared" si="75"/>
        <v/>
      </c>
      <c r="KF48" s="4" t="str">
        <f t="shared" si="76"/>
        <v/>
      </c>
      <c r="KG48" s="4" t="str">
        <f t="shared" si="77"/>
        <v/>
      </c>
      <c r="KH48" s="4" t="str">
        <f t="shared" si="78"/>
        <v/>
      </c>
      <c r="KI48" s="4" t="str">
        <f t="shared" si="79"/>
        <v/>
      </c>
      <c r="KJ48" s="4" t="str">
        <f t="shared" si="80"/>
        <v/>
      </c>
      <c r="KK48" s="4" t="str">
        <f t="shared" si="81"/>
        <v/>
      </c>
      <c r="KL48" s="4" t="str">
        <f t="shared" si="82"/>
        <v/>
      </c>
      <c r="KM48" s="4" t="str">
        <f t="shared" si="83"/>
        <v/>
      </c>
      <c r="KN48" s="4" t="str">
        <f t="shared" si="84"/>
        <v/>
      </c>
      <c r="KO48" s="4" t="str">
        <f t="shared" si="85"/>
        <v/>
      </c>
      <c r="KP48" s="4" t="str">
        <f t="shared" si="86"/>
        <v/>
      </c>
      <c r="KQ48" s="4" t="str">
        <f t="shared" si="87"/>
        <v/>
      </c>
      <c r="KR48" s="4" t="str">
        <f t="shared" si="88"/>
        <v/>
      </c>
      <c r="KS48" s="4" t="str">
        <f t="shared" si="89"/>
        <v/>
      </c>
      <c r="KT48" s="4" t="str">
        <f t="shared" si="90"/>
        <v/>
      </c>
      <c r="KU48" s="4" t="str">
        <f t="shared" si="91"/>
        <v/>
      </c>
      <c r="KV48" s="4" t="str">
        <f t="shared" si="92"/>
        <v/>
      </c>
      <c r="KW48" s="4" t="str">
        <f t="shared" si="93"/>
        <v/>
      </c>
      <c r="KX48" s="4" t="str">
        <f t="shared" si="94"/>
        <v/>
      </c>
      <c r="KY48" s="4" t="str">
        <f t="shared" si="95"/>
        <v/>
      </c>
      <c r="KZ48" s="4" t="str">
        <f t="shared" si="96"/>
        <v/>
      </c>
      <c r="LA48" s="4" t="str">
        <f t="shared" si="97"/>
        <v/>
      </c>
      <c r="LB48" s="4" t="str">
        <f t="shared" si="98"/>
        <v/>
      </c>
      <c r="LC48" s="4" t="str">
        <f t="shared" si="99"/>
        <v/>
      </c>
      <c r="LD48" s="4" t="str">
        <f t="shared" si="100"/>
        <v/>
      </c>
      <c r="LE48" s="4" t="str">
        <f t="shared" si="101"/>
        <v/>
      </c>
      <c r="LF48" s="4" t="str">
        <f t="shared" si="102"/>
        <v/>
      </c>
      <c r="LG48" s="4" t="str">
        <f t="shared" si="103"/>
        <v/>
      </c>
      <c r="LH48" s="4" t="str">
        <f t="shared" si="104"/>
        <v/>
      </c>
      <c r="LI48" s="4" t="str">
        <f t="shared" si="105"/>
        <v/>
      </c>
      <c r="LJ48" s="4" t="str">
        <f t="shared" si="106"/>
        <v/>
      </c>
      <c r="LK48" s="4" t="str">
        <f t="shared" si="107"/>
        <v/>
      </c>
      <c r="LL48" s="4" t="str">
        <f t="shared" si="108"/>
        <v/>
      </c>
      <c r="LM48" s="4" t="str">
        <f t="shared" si="109"/>
        <v/>
      </c>
      <c r="LN48" s="4" t="str">
        <f t="shared" si="110"/>
        <v/>
      </c>
      <c r="LO48" s="4" t="str">
        <f t="shared" si="111"/>
        <v/>
      </c>
      <c r="LP48" s="4" t="str">
        <f t="shared" si="112"/>
        <v/>
      </c>
      <c r="LQ48" s="4" t="str">
        <f t="shared" si="113"/>
        <v/>
      </c>
      <c r="LR48" s="4" t="str">
        <f t="shared" si="114"/>
        <v/>
      </c>
      <c r="LS48" s="4" t="str">
        <f t="shared" si="115"/>
        <v/>
      </c>
      <c r="LT48" s="4" t="str">
        <f t="shared" si="116"/>
        <v/>
      </c>
      <c r="LU48" s="4" t="str">
        <f t="shared" si="117"/>
        <v/>
      </c>
      <c r="LV48" s="4" t="str">
        <f t="shared" si="118"/>
        <v/>
      </c>
      <c r="LW48" s="4" t="str">
        <f t="shared" si="119"/>
        <v/>
      </c>
      <c r="LX48" s="4" t="str">
        <f t="shared" si="120"/>
        <v/>
      </c>
      <c r="LY48" s="4" t="str">
        <f t="shared" si="121"/>
        <v/>
      </c>
      <c r="LZ48" s="4" t="str">
        <f t="shared" si="122"/>
        <v/>
      </c>
      <c r="MA48" s="4" t="str">
        <f t="shared" si="123"/>
        <v/>
      </c>
      <c r="MB48" s="4" t="str">
        <f t="shared" si="124"/>
        <v/>
      </c>
      <c r="MC48" s="4" t="str">
        <f t="shared" si="125"/>
        <v/>
      </c>
      <c r="MD48" s="4" t="str">
        <f t="shared" si="126"/>
        <v/>
      </c>
      <c r="ME48" s="4" t="str">
        <f t="shared" si="127"/>
        <v/>
      </c>
      <c r="MF48" s="4" t="str">
        <f t="shared" si="128"/>
        <v/>
      </c>
      <c r="MG48" s="4" t="str">
        <f t="shared" si="129"/>
        <v/>
      </c>
      <c r="MH48" s="4" t="str">
        <f t="shared" si="130"/>
        <v/>
      </c>
      <c r="MI48" s="4" t="str">
        <f t="shared" si="131"/>
        <v/>
      </c>
      <c r="MJ48" s="4" t="str">
        <f t="shared" si="132"/>
        <v/>
      </c>
      <c r="MK48" s="4" t="str">
        <f t="shared" si="133"/>
        <v/>
      </c>
      <c r="ML48" s="4" t="str">
        <f t="shared" si="134"/>
        <v/>
      </c>
      <c r="MM48" s="4" t="str">
        <f t="shared" si="135"/>
        <v/>
      </c>
      <c r="MN48" s="4" t="str">
        <f t="shared" si="136"/>
        <v/>
      </c>
      <c r="MO48" s="4" t="str">
        <f t="shared" si="137"/>
        <v/>
      </c>
      <c r="MP48" s="4" t="str">
        <f t="shared" si="138"/>
        <v/>
      </c>
      <c r="MQ48" s="4" t="str">
        <f t="shared" si="139"/>
        <v/>
      </c>
      <c r="MR48" s="4" t="str">
        <f t="shared" si="140"/>
        <v/>
      </c>
      <c r="MS48" s="4" t="str">
        <f t="shared" si="141"/>
        <v/>
      </c>
      <c r="MT48" s="4" t="str">
        <f t="shared" si="142"/>
        <v/>
      </c>
      <c r="MU48" s="4" t="str">
        <f t="shared" si="143"/>
        <v/>
      </c>
      <c r="MV48" s="4" t="str">
        <f t="shared" si="144"/>
        <v/>
      </c>
      <c r="MW48" s="4" t="str">
        <f t="shared" si="145"/>
        <v/>
      </c>
      <c r="MX48" s="4" t="str">
        <f t="shared" si="146"/>
        <v/>
      </c>
      <c r="MY48" s="4" t="str">
        <f t="shared" si="147"/>
        <v/>
      </c>
      <c r="MZ48" s="4" t="str">
        <f t="shared" si="148"/>
        <v/>
      </c>
      <c r="NA48" s="4" t="str">
        <f t="shared" si="149"/>
        <v/>
      </c>
      <c r="NB48" s="4" t="str">
        <f t="shared" si="150"/>
        <v/>
      </c>
      <c r="NC48" s="4" t="str">
        <f t="shared" si="151"/>
        <v/>
      </c>
      <c r="ND48" s="4" t="str">
        <f t="shared" si="152"/>
        <v/>
      </c>
      <c r="NE48" s="4" t="str">
        <f t="shared" si="153"/>
        <v/>
      </c>
      <c r="NF48" s="4" t="str">
        <f t="shared" si="154"/>
        <v/>
      </c>
      <c r="NG48" s="4" t="str">
        <f t="shared" si="155"/>
        <v/>
      </c>
      <c r="NH48" s="4" t="str">
        <f t="shared" si="156"/>
        <v/>
      </c>
      <c r="NI48" s="4" t="str">
        <f t="shared" si="157"/>
        <v/>
      </c>
      <c r="NJ48" s="4" t="str">
        <f t="shared" si="158"/>
        <v/>
      </c>
      <c r="NK48" s="4" t="str">
        <f t="shared" si="159"/>
        <v/>
      </c>
      <c r="NL48" s="4" t="str">
        <f t="shared" si="160"/>
        <v/>
      </c>
      <c r="NM48" s="4" t="str">
        <f t="shared" si="161"/>
        <v/>
      </c>
      <c r="NN48" s="4" t="str">
        <f t="shared" si="162"/>
        <v/>
      </c>
      <c r="NO48" s="4" t="str">
        <f t="shared" si="163"/>
        <v/>
      </c>
      <c r="NP48" s="4" t="str">
        <f t="shared" si="164"/>
        <v/>
      </c>
      <c r="NQ48" s="4" t="str">
        <f t="shared" si="165"/>
        <v/>
      </c>
      <c r="NR48" s="4" t="str">
        <f t="shared" si="166"/>
        <v/>
      </c>
      <c r="NS48" s="4" t="str">
        <f t="shared" si="167"/>
        <v/>
      </c>
      <c r="NT48" s="4" t="str">
        <f t="shared" si="168"/>
        <v/>
      </c>
      <c r="NU48" s="4" t="str">
        <f t="shared" si="169"/>
        <v/>
      </c>
      <c r="NV48" s="4" t="str">
        <f t="shared" si="170"/>
        <v/>
      </c>
      <c r="NW48" s="4" t="str">
        <f t="shared" si="171"/>
        <v/>
      </c>
      <c r="NX48" s="4" t="str">
        <f t="shared" si="172"/>
        <v/>
      </c>
      <c r="NY48" s="4" t="str">
        <f t="shared" si="173"/>
        <v/>
      </c>
      <c r="NZ48" s="4" t="str">
        <f t="shared" si="174"/>
        <v/>
      </c>
      <c r="OA48" s="4" t="str">
        <f t="shared" si="175"/>
        <v/>
      </c>
      <c r="OB48" s="4" t="str">
        <f t="shared" si="176"/>
        <v/>
      </c>
      <c r="OC48" s="4" t="str">
        <f t="shared" si="177"/>
        <v/>
      </c>
      <c r="OD48" s="4" t="str">
        <f t="shared" si="178"/>
        <v/>
      </c>
      <c r="OE48" s="4" t="str">
        <f t="shared" si="179"/>
        <v/>
      </c>
      <c r="OF48" s="4" t="str">
        <f t="shared" si="180"/>
        <v/>
      </c>
      <c r="OG48" s="4" t="str">
        <f t="shared" si="181"/>
        <v/>
      </c>
      <c r="OH48" s="4" t="str">
        <f t="shared" si="182"/>
        <v/>
      </c>
      <c r="OI48" s="4" t="str">
        <f t="shared" si="183"/>
        <v/>
      </c>
      <c r="OJ48" s="4" t="str">
        <f t="shared" si="184"/>
        <v/>
      </c>
      <c r="OK48" s="4" t="str">
        <f t="shared" si="185"/>
        <v/>
      </c>
      <c r="OL48" s="4" t="str">
        <f t="shared" si="186"/>
        <v/>
      </c>
      <c r="OM48" s="4" t="str">
        <f t="shared" si="187"/>
        <v/>
      </c>
      <c r="ON48" s="4" t="str">
        <f t="shared" si="188"/>
        <v/>
      </c>
      <c r="OO48" s="4" t="str">
        <f t="shared" si="189"/>
        <v/>
      </c>
      <c r="OP48" s="4" t="str">
        <f t="shared" si="190"/>
        <v/>
      </c>
      <c r="OQ48" s="4" t="str">
        <f t="shared" si="191"/>
        <v/>
      </c>
      <c r="OR48" s="4" t="str">
        <f t="shared" si="192"/>
        <v/>
      </c>
      <c r="OS48" s="4" t="str">
        <f t="shared" si="193"/>
        <v/>
      </c>
      <c r="OT48" s="4" t="str">
        <f t="shared" si="194"/>
        <v/>
      </c>
      <c r="OU48" s="4" t="str">
        <f t="shared" si="195"/>
        <v/>
      </c>
      <c r="OV48" s="4" t="str">
        <f t="shared" si="196"/>
        <v/>
      </c>
      <c r="OW48" s="4" t="str">
        <f t="shared" si="197"/>
        <v/>
      </c>
      <c r="OX48" s="4" t="str">
        <f t="shared" si="198"/>
        <v/>
      </c>
      <c r="OY48" s="4" t="str">
        <f t="shared" si="199"/>
        <v/>
      </c>
      <c r="OZ48" s="4" t="str">
        <f t="shared" si="200"/>
        <v/>
      </c>
      <c r="PA48" s="4" t="str">
        <f t="shared" si="201"/>
        <v/>
      </c>
      <c r="PB48" s="4" t="str">
        <f t="shared" si="202"/>
        <v/>
      </c>
      <c r="PC48" s="4" t="str">
        <f t="shared" si="203"/>
        <v/>
      </c>
      <c r="PD48" s="4" t="str">
        <f t="shared" si="204"/>
        <v/>
      </c>
      <c r="PE48" s="4" t="str">
        <f t="shared" si="205"/>
        <v/>
      </c>
      <c r="PF48" s="4" t="str">
        <f t="shared" si="206"/>
        <v/>
      </c>
      <c r="PG48" s="4" t="str">
        <f t="shared" si="207"/>
        <v/>
      </c>
      <c r="PH48" s="4" t="str">
        <f t="shared" si="208"/>
        <v/>
      </c>
      <c r="PI48" s="4" t="str">
        <f t="shared" si="209"/>
        <v/>
      </c>
      <c r="PJ48" s="4" t="str">
        <f t="shared" si="210"/>
        <v/>
      </c>
      <c r="PK48" s="4" t="str">
        <f t="shared" si="211"/>
        <v/>
      </c>
      <c r="PL48" s="4" t="str">
        <f t="shared" si="212"/>
        <v/>
      </c>
      <c r="PM48" s="4" t="str">
        <f t="shared" si="213"/>
        <v/>
      </c>
      <c r="PN48" s="4" t="str">
        <f t="shared" si="214"/>
        <v/>
      </c>
      <c r="PO48" s="4" t="str">
        <f t="shared" si="215"/>
        <v/>
      </c>
      <c r="PP48" s="4" t="str">
        <f t="shared" si="216"/>
        <v/>
      </c>
      <c r="PQ48" s="4" t="str">
        <f t="shared" si="217"/>
        <v/>
      </c>
      <c r="PR48" s="4" t="str">
        <f t="shared" si="218"/>
        <v/>
      </c>
      <c r="PS48" s="4" t="str">
        <f t="shared" si="219"/>
        <v/>
      </c>
    </row>
    <row r="49">
      <c r="HI49" s="4" t="str">
        <f t="shared" si="2"/>
        <v/>
      </c>
      <c r="HJ49" s="4" t="str">
        <f t="shared" si="3"/>
        <v/>
      </c>
      <c r="HK49" s="4" t="str">
        <f t="shared" si="4"/>
        <v/>
      </c>
      <c r="HL49" s="4" t="str">
        <f t="shared" si="5"/>
        <v/>
      </c>
      <c r="HM49" s="4" t="str">
        <f t="shared" si="6"/>
        <v/>
      </c>
      <c r="HN49" s="4" t="str">
        <f t="shared" si="7"/>
        <v/>
      </c>
      <c r="HO49" s="4" t="str">
        <f t="shared" si="8"/>
        <v/>
      </c>
      <c r="HP49" s="4" t="str">
        <f t="shared" si="9"/>
        <v/>
      </c>
      <c r="HQ49" s="4" t="str">
        <f t="shared" si="10"/>
        <v/>
      </c>
      <c r="HR49" s="4" t="str">
        <f t="shared" si="11"/>
        <v/>
      </c>
      <c r="HS49" s="4" t="str">
        <f t="shared" si="12"/>
        <v/>
      </c>
      <c r="HT49" s="4" t="str">
        <f t="shared" si="13"/>
        <v/>
      </c>
      <c r="HU49" s="4" t="str">
        <f t="shared" si="14"/>
        <v/>
      </c>
      <c r="HV49" s="4" t="str">
        <f t="shared" si="15"/>
        <v/>
      </c>
      <c r="HW49" s="4" t="str">
        <f t="shared" si="16"/>
        <v/>
      </c>
      <c r="HX49" s="4" t="str">
        <f t="shared" si="17"/>
        <v/>
      </c>
      <c r="HY49" s="4" t="str">
        <f t="shared" si="18"/>
        <v/>
      </c>
      <c r="HZ49" s="4" t="str">
        <f t="shared" si="19"/>
        <v/>
      </c>
      <c r="IA49" s="4" t="str">
        <f t="shared" si="20"/>
        <v/>
      </c>
      <c r="IB49" s="4" t="str">
        <f t="shared" si="21"/>
        <v/>
      </c>
      <c r="IC49" s="4" t="str">
        <f t="shared" si="22"/>
        <v/>
      </c>
      <c r="ID49" s="4" t="str">
        <f t="shared" si="23"/>
        <v/>
      </c>
      <c r="IE49" s="4" t="str">
        <f t="shared" si="24"/>
        <v/>
      </c>
      <c r="IF49" s="4" t="str">
        <f t="shared" si="25"/>
        <v/>
      </c>
      <c r="IG49" s="4" t="str">
        <f t="shared" si="26"/>
        <v/>
      </c>
      <c r="IH49" s="4" t="str">
        <f t="shared" si="27"/>
        <v/>
      </c>
      <c r="II49" s="4" t="str">
        <f t="shared" si="28"/>
        <v/>
      </c>
      <c r="IJ49" s="4" t="str">
        <f t="shared" si="29"/>
        <v/>
      </c>
      <c r="IK49" s="4" t="str">
        <f t="shared" si="30"/>
        <v/>
      </c>
      <c r="IL49" s="4" t="str">
        <f t="shared" si="31"/>
        <v/>
      </c>
      <c r="IM49" s="4" t="str">
        <f t="shared" si="32"/>
        <v/>
      </c>
      <c r="IN49" s="4" t="str">
        <f t="shared" si="33"/>
        <v/>
      </c>
      <c r="IO49" s="4" t="str">
        <f t="shared" si="34"/>
        <v/>
      </c>
      <c r="IP49" s="4" t="str">
        <f t="shared" si="35"/>
        <v/>
      </c>
      <c r="IQ49" s="4" t="str">
        <f t="shared" si="36"/>
        <v/>
      </c>
      <c r="IR49" s="4" t="str">
        <f t="shared" si="37"/>
        <v/>
      </c>
      <c r="IS49" s="4" t="str">
        <f t="shared" si="38"/>
        <v/>
      </c>
      <c r="IT49" s="4" t="str">
        <f t="shared" si="39"/>
        <v/>
      </c>
      <c r="IU49" s="4" t="str">
        <f t="shared" si="40"/>
        <v/>
      </c>
      <c r="IV49" s="4" t="str">
        <f t="shared" si="41"/>
        <v/>
      </c>
      <c r="IW49" s="4" t="str">
        <f t="shared" si="42"/>
        <v/>
      </c>
      <c r="IX49" s="4" t="str">
        <f t="shared" si="43"/>
        <v/>
      </c>
      <c r="IY49" s="4" t="str">
        <f t="shared" si="44"/>
        <v/>
      </c>
      <c r="IZ49" s="4" t="str">
        <f t="shared" si="45"/>
        <v/>
      </c>
      <c r="JA49" s="4" t="str">
        <f t="shared" ref="JA49:JB49" si="265">if(ISERROR(SEARCH("Higher Education",BB49)),"","810")</f>
        <v/>
      </c>
      <c r="JB49" s="4" t="str">
        <f t="shared" si="265"/>
        <v/>
      </c>
      <c r="JC49" s="4" t="str">
        <f t="shared" si="47"/>
        <v/>
      </c>
      <c r="JD49" s="4" t="str">
        <f t="shared" si="48"/>
        <v/>
      </c>
      <c r="JE49" s="4" t="str">
        <f t="shared" si="49"/>
        <v/>
      </c>
      <c r="JF49" s="4" t="str">
        <f t="shared" si="50"/>
        <v/>
      </c>
      <c r="JG49" s="4" t="str">
        <f t="shared" si="51"/>
        <v/>
      </c>
      <c r="JH49" s="4" t="str">
        <f t="shared" si="52"/>
        <v/>
      </c>
      <c r="JI49" s="4" t="str">
        <f t="shared" si="53"/>
        <v/>
      </c>
      <c r="JJ49" s="4" t="str">
        <f t="shared" si="54"/>
        <v/>
      </c>
      <c r="JK49" s="4" t="str">
        <f t="shared" si="55"/>
        <v/>
      </c>
      <c r="JL49" s="4" t="str">
        <f t="shared" si="56"/>
        <v/>
      </c>
      <c r="JM49" s="4" t="str">
        <f t="shared" si="57"/>
        <v/>
      </c>
      <c r="JN49" s="4" t="str">
        <f t="shared" si="58"/>
        <v/>
      </c>
      <c r="JO49" s="4" t="str">
        <f t="shared" si="59"/>
        <v/>
      </c>
      <c r="JP49" s="4" t="str">
        <f t="shared" si="60"/>
        <v/>
      </c>
      <c r="JQ49" s="4" t="str">
        <f t="shared" si="61"/>
        <v/>
      </c>
      <c r="JR49" s="4" t="str">
        <f t="shared" si="62"/>
        <v/>
      </c>
      <c r="JS49" s="4" t="str">
        <f t="shared" si="63"/>
        <v/>
      </c>
      <c r="JT49" s="4" t="str">
        <f t="shared" si="64"/>
        <v/>
      </c>
      <c r="JU49" s="4" t="str">
        <f t="shared" si="65"/>
        <v/>
      </c>
      <c r="JV49" s="4" t="str">
        <f t="shared" si="66"/>
        <v/>
      </c>
      <c r="JW49" s="4" t="str">
        <f t="shared" si="67"/>
        <v/>
      </c>
      <c r="JX49" s="4" t="str">
        <f t="shared" si="68"/>
        <v/>
      </c>
      <c r="JY49" s="4" t="str">
        <f t="shared" si="69"/>
        <v/>
      </c>
      <c r="JZ49" s="4" t="str">
        <f t="shared" si="70"/>
        <v/>
      </c>
      <c r="KA49" s="4" t="str">
        <f t="shared" si="71"/>
        <v/>
      </c>
      <c r="KB49" s="4" t="str">
        <f t="shared" si="72"/>
        <v/>
      </c>
      <c r="KC49" s="4" t="str">
        <f t="shared" si="73"/>
        <v/>
      </c>
      <c r="KD49" s="4" t="str">
        <f t="shared" si="74"/>
        <v/>
      </c>
      <c r="KE49" s="4" t="str">
        <f t="shared" si="75"/>
        <v/>
      </c>
      <c r="KF49" s="4" t="str">
        <f t="shared" si="76"/>
        <v/>
      </c>
      <c r="KG49" s="4" t="str">
        <f t="shared" si="77"/>
        <v/>
      </c>
      <c r="KH49" s="4" t="str">
        <f t="shared" si="78"/>
        <v/>
      </c>
      <c r="KI49" s="4" t="str">
        <f t="shared" si="79"/>
        <v/>
      </c>
      <c r="KJ49" s="4" t="str">
        <f t="shared" si="80"/>
        <v/>
      </c>
      <c r="KK49" s="4" t="str">
        <f t="shared" si="81"/>
        <v/>
      </c>
      <c r="KL49" s="4" t="str">
        <f t="shared" si="82"/>
        <v/>
      </c>
      <c r="KM49" s="4" t="str">
        <f t="shared" si="83"/>
        <v/>
      </c>
      <c r="KN49" s="4" t="str">
        <f t="shared" si="84"/>
        <v/>
      </c>
      <c r="KO49" s="4" t="str">
        <f t="shared" si="85"/>
        <v/>
      </c>
      <c r="KP49" s="4" t="str">
        <f t="shared" si="86"/>
        <v/>
      </c>
      <c r="KQ49" s="4" t="str">
        <f t="shared" si="87"/>
        <v/>
      </c>
      <c r="KR49" s="4" t="str">
        <f t="shared" si="88"/>
        <v/>
      </c>
      <c r="KS49" s="4" t="str">
        <f t="shared" si="89"/>
        <v/>
      </c>
      <c r="KT49" s="4" t="str">
        <f t="shared" si="90"/>
        <v/>
      </c>
      <c r="KU49" s="4" t="str">
        <f t="shared" si="91"/>
        <v/>
      </c>
      <c r="KV49" s="4" t="str">
        <f t="shared" si="92"/>
        <v/>
      </c>
      <c r="KW49" s="4" t="str">
        <f t="shared" si="93"/>
        <v/>
      </c>
      <c r="KX49" s="4" t="str">
        <f t="shared" si="94"/>
        <v/>
      </c>
      <c r="KY49" s="4" t="str">
        <f t="shared" si="95"/>
        <v/>
      </c>
      <c r="KZ49" s="4" t="str">
        <f t="shared" si="96"/>
        <v/>
      </c>
      <c r="LA49" s="4" t="str">
        <f t="shared" si="97"/>
        <v/>
      </c>
      <c r="LB49" s="4" t="str">
        <f t="shared" si="98"/>
        <v/>
      </c>
      <c r="LC49" s="4" t="str">
        <f t="shared" si="99"/>
        <v/>
      </c>
      <c r="LD49" s="4" t="str">
        <f t="shared" si="100"/>
        <v/>
      </c>
      <c r="LE49" s="4" t="str">
        <f t="shared" si="101"/>
        <v/>
      </c>
      <c r="LF49" s="4" t="str">
        <f t="shared" si="102"/>
        <v/>
      </c>
      <c r="LG49" s="4" t="str">
        <f t="shared" si="103"/>
        <v/>
      </c>
      <c r="LH49" s="4" t="str">
        <f t="shared" si="104"/>
        <v/>
      </c>
      <c r="LI49" s="4" t="str">
        <f t="shared" si="105"/>
        <v/>
      </c>
      <c r="LJ49" s="4" t="str">
        <f t="shared" si="106"/>
        <v/>
      </c>
      <c r="LK49" s="4" t="str">
        <f t="shared" si="107"/>
        <v/>
      </c>
      <c r="LL49" s="4" t="str">
        <f t="shared" si="108"/>
        <v/>
      </c>
      <c r="LM49" s="4" t="str">
        <f t="shared" si="109"/>
        <v/>
      </c>
      <c r="LN49" s="4" t="str">
        <f t="shared" si="110"/>
        <v/>
      </c>
      <c r="LO49" s="4" t="str">
        <f t="shared" si="111"/>
        <v/>
      </c>
      <c r="LP49" s="4" t="str">
        <f t="shared" si="112"/>
        <v/>
      </c>
      <c r="LQ49" s="4" t="str">
        <f t="shared" si="113"/>
        <v/>
      </c>
      <c r="LR49" s="4" t="str">
        <f t="shared" si="114"/>
        <v/>
      </c>
      <c r="LS49" s="4" t="str">
        <f t="shared" si="115"/>
        <v/>
      </c>
      <c r="LT49" s="4" t="str">
        <f t="shared" si="116"/>
        <v/>
      </c>
      <c r="LU49" s="4" t="str">
        <f t="shared" si="117"/>
        <v/>
      </c>
      <c r="LV49" s="4" t="str">
        <f t="shared" si="118"/>
        <v/>
      </c>
      <c r="LW49" s="4" t="str">
        <f t="shared" si="119"/>
        <v/>
      </c>
      <c r="LX49" s="4" t="str">
        <f t="shared" si="120"/>
        <v/>
      </c>
      <c r="LY49" s="4" t="str">
        <f t="shared" si="121"/>
        <v/>
      </c>
      <c r="LZ49" s="4" t="str">
        <f t="shared" si="122"/>
        <v/>
      </c>
      <c r="MA49" s="4" t="str">
        <f t="shared" si="123"/>
        <v/>
      </c>
      <c r="MB49" s="4" t="str">
        <f t="shared" si="124"/>
        <v/>
      </c>
      <c r="MC49" s="4" t="str">
        <f t="shared" si="125"/>
        <v/>
      </c>
      <c r="MD49" s="4" t="str">
        <f t="shared" si="126"/>
        <v/>
      </c>
      <c r="ME49" s="4" t="str">
        <f t="shared" si="127"/>
        <v/>
      </c>
      <c r="MF49" s="4" t="str">
        <f t="shared" si="128"/>
        <v/>
      </c>
      <c r="MG49" s="4" t="str">
        <f t="shared" si="129"/>
        <v/>
      </c>
      <c r="MH49" s="4" t="str">
        <f t="shared" si="130"/>
        <v/>
      </c>
      <c r="MI49" s="4" t="str">
        <f t="shared" si="131"/>
        <v/>
      </c>
      <c r="MJ49" s="4" t="str">
        <f t="shared" si="132"/>
        <v/>
      </c>
      <c r="MK49" s="4" t="str">
        <f t="shared" si="133"/>
        <v/>
      </c>
      <c r="ML49" s="4" t="str">
        <f t="shared" si="134"/>
        <v/>
      </c>
      <c r="MM49" s="4" t="str">
        <f t="shared" si="135"/>
        <v/>
      </c>
      <c r="MN49" s="4" t="str">
        <f t="shared" si="136"/>
        <v/>
      </c>
      <c r="MO49" s="4" t="str">
        <f t="shared" si="137"/>
        <v/>
      </c>
      <c r="MP49" s="4" t="str">
        <f t="shared" si="138"/>
        <v/>
      </c>
      <c r="MQ49" s="4" t="str">
        <f t="shared" si="139"/>
        <v/>
      </c>
      <c r="MR49" s="4" t="str">
        <f t="shared" si="140"/>
        <v/>
      </c>
      <c r="MS49" s="4" t="str">
        <f t="shared" si="141"/>
        <v/>
      </c>
      <c r="MT49" s="4" t="str">
        <f t="shared" si="142"/>
        <v/>
      </c>
      <c r="MU49" s="4" t="str">
        <f t="shared" si="143"/>
        <v/>
      </c>
      <c r="MV49" s="4" t="str">
        <f t="shared" si="144"/>
        <v/>
      </c>
      <c r="MW49" s="4" t="str">
        <f t="shared" si="145"/>
        <v/>
      </c>
      <c r="MX49" s="4" t="str">
        <f t="shared" si="146"/>
        <v/>
      </c>
      <c r="MY49" s="4" t="str">
        <f t="shared" si="147"/>
        <v/>
      </c>
      <c r="MZ49" s="4" t="str">
        <f t="shared" si="148"/>
        <v/>
      </c>
      <c r="NA49" s="4" t="str">
        <f t="shared" si="149"/>
        <v/>
      </c>
      <c r="NB49" s="4" t="str">
        <f t="shared" si="150"/>
        <v/>
      </c>
      <c r="NC49" s="4" t="str">
        <f t="shared" si="151"/>
        <v/>
      </c>
      <c r="ND49" s="4" t="str">
        <f t="shared" si="152"/>
        <v/>
      </c>
      <c r="NE49" s="4" t="str">
        <f t="shared" si="153"/>
        <v/>
      </c>
      <c r="NF49" s="4" t="str">
        <f t="shared" si="154"/>
        <v/>
      </c>
      <c r="NG49" s="4" t="str">
        <f t="shared" si="155"/>
        <v/>
      </c>
      <c r="NH49" s="4" t="str">
        <f t="shared" si="156"/>
        <v/>
      </c>
      <c r="NI49" s="4" t="str">
        <f t="shared" si="157"/>
        <v/>
      </c>
      <c r="NJ49" s="4" t="str">
        <f t="shared" si="158"/>
        <v/>
      </c>
      <c r="NK49" s="4" t="str">
        <f t="shared" si="159"/>
        <v/>
      </c>
      <c r="NL49" s="4" t="str">
        <f t="shared" si="160"/>
        <v/>
      </c>
      <c r="NM49" s="4" t="str">
        <f t="shared" si="161"/>
        <v/>
      </c>
      <c r="NN49" s="4" t="str">
        <f t="shared" si="162"/>
        <v/>
      </c>
      <c r="NO49" s="4" t="str">
        <f t="shared" si="163"/>
        <v/>
      </c>
      <c r="NP49" s="4" t="str">
        <f t="shared" si="164"/>
        <v/>
      </c>
      <c r="NQ49" s="4" t="str">
        <f t="shared" si="165"/>
        <v/>
      </c>
      <c r="NR49" s="4" t="str">
        <f t="shared" si="166"/>
        <v/>
      </c>
      <c r="NS49" s="4" t="str">
        <f t="shared" si="167"/>
        <v/>
      </c>
      <c r="NT49" s="4" t="str">
        <f t="shared" si="168"/>
        <v/>
      </c>
      <c r="NU49" s="4" t="str">
        <f t="shared" si="169"/>
        <v/>
      </c>
      <c r="NV49" s="4" t="str">
        <f t="shared" si="170"/>
        <v/>
      </c>
      <c r="NW49" s="4" t="str">
        <f t="shared" si="171"/>
        <v/>
      </c>
      <c r="NX49" s="4" t="str">
        <f t="shared" si="172"/>
        <v/>
      </c>
      <c r="NY49" s="4" t="str">
        <f t="shared" si="173"/>
        <v/>
      </c>
      <c r="NZ49" s="4" t="str">
        <f t="shared" si="174"/>
        <v/>
      </c>
      <c r="OA49" s="4" t="str">
        <f t="shared" si="175"/>
        <v/>
      </c>
      <c r="OB49" s="4" t="str">
        <f t="shared" si="176"/>
        <v/>
      </c>
      <c r="OC49" s="4" t="str">
        <f t="shared" si="177"/>
        <v/>
      </c>
      <c r="OD49" s="4" t="str">
        <f t="shared" si="178"/>
        <v/>
      </c>
      <c r="OE49" s="4" t="str">
        <f t="shared" si="179"/>
        <v/>
      </c>
      <c r="OF49" s="4" t="str">
        <f t="shared" si="180"/>
        <v/>
      </c>
      <c r="OG49" s="4" t="str">
        <f t="shared" si="181"/>
        <v/>
      </c>
      <c r="OH49" s="4" t="str">
        <f t="shared" si="182"/>
        <v/>
      </c>
      <c r="OI49" s="4" t="str">
        <f t="shared" si="183"/>
        <v/>
      </c>
      <c r="OJ49" s="4" t="str">
        <f t="shared" si="184"/>
        <v/>
      </c>
      <c r="OK49" s="4" t="str">
        <f t="shared" si="185"/>
        <v/>
      </c>
      <c r="OL49" s="4" t="str">
        <f t="shared" si="186"/>
        <v/>
      </c>
      <c r="OM49" s="4" t="str">
        <f t="shared" si="187"/>
        <v/>
      </c>
      <c r="ON49" s="4" t="str">
        <f t="shared" si="188"/>
        <v/>
      </c>
      <c r="OO49" s="4" t="str">
        <f t="shared" si="189"/>
        <v/>
      </c>
      <c r="OP49" s="4" t="str">
        <f t="shared" si="190"/>
        <v/>
      </c>
      <c r="OQ49" s="4" t="str">
        <f t="shared" si="191"/>
        <v/>
      </c>
      <c r="OR49" s="4" t="str">
        <f t="shared" si="192"/>
        <v/>
      </c>
      <c r="OS49" s="4" t="str">
        <f t="shared" si="193"/>
        <v/>
      </c>
      <c r="OT49" s="4" t="str">
        <f t="shared" si="194"/>
        <v/>
      </c>
      <c r="OU49" s="4" t="str">
        <f t="shared" si="195"/>
        <v/>
      </c>
      <c r="OV49" s="4" t="str">
        <f t="shared" si="196"/>
        <v/>
      </c>
      <c r="OW49" s="4" t="str">
        <f t="shared" si="197"/>
        <v/>
      </c>
      <c r="OX49" s="4" t="str">
        <f t="shared" si="198"/>
        <v/>
      </c>
      <c r="OY49" s="4" t="str">
        <f t="shared" si="199"/>
        <v/>
      </c>
      <c r="OZ49" s="4" t="str">
        <f t="shared" si="200"/>
        <v/>
      </c>
      <c r="PA49" s="4" t="str">
        <f t="shared" si="201"/>
        <v/>
      </c>
      <c r="PB49" s="4" t="str">
        <f t="shared" si="202"/>
        <v/>
      </c>
      <c r="PC49" s="4" t="str">
        <f t="shared" si="203"/>
        <v/>
      </c>
      <c r="PD49" s="4" t="str">
        <f t="shared" si="204"/>
        <v/>
      </c>
      <c r="PE49" s="4" t="str">
        <f t="shared" si="205"/>
        <v/>
      </c>
      <c r="PF49" s="4" t="str">
        <f t="shared" si="206"/>
        <v/>
      </c>
      <c r="PG49" s="4" t="str">
        <f t="shared" si="207"/>
        <v/>
      </c>
      <c r="PH49" s="4" t="str">
        <f t="shared" si="208"/>
        <v/>
      </c>
      <c r="PI49" s="4" t="str">
        <f t="shared" si="209"/>
        <v/>
      </c>
      <c r="PJ49" s="4" t="str">
        <f t="shared" si="210"/>
        <v/>
      </c>
      <c r="PK49" s="4" t="str">
        <f t="shared" si="211"/>
        <v/>
      </c>
      <c r="PL49" s="4" t="str">
        <f t="shared" si="212"/>
        <v/>
      </c>
      <c r="PM49" s="4" t="str">
        <f t="shared" si="213"/>
        <v/>
      </c>
      <c r="PN49" s="4" t="str">
        <f t="shared" si="214"/>
        <v/>
      </c>
      <c r="PO49" s="4" t="str">
        <f t="shared" si="215"/>
        <v/>
      </c>
      <c r="PP49" s="4" t="str">
        <f t="shared" si="216"/>
        <v/>
      </c>
      <c r="PQ49" s="4" t="str">
        <f t="shared" si="217"/>
        <v/>
      </c>
      <c r="PR49" s="4" t="str">
        <f t="shared" si="218"/>
        <v/>
      </c>
      <c r="PS49" s="4" t="str">
        <f t="shared" si="219"/>
        <v/>
      </c>
    </row>
    <row r="50">
      <c r="HI50" s="4" t="str">
        <f t="shared" si="2"/>
        <v/>
      </c>
      <c r="HJ50" s="4" t="str">
        <f t="shared" si="3"/>
        <v/>
      </c>
      <c r="HK50" s="4" t="str">
        <f t="shared" si="4"/>
        <v/>
      </c>
      <c r="HL50" s="4" t="str">
        <f t="shared" si="5"/>
        <v/>
      </c>
      <c r="HM50" s="4" t="str">
        <f t="shared" si="6"/>
        <v/>
      </c>
      <c r="HN50" s="4" t="str">
        <f t="shared" si="7"/>
        <v/>
      </c>
      <c r="HO50" s="4" t="str">
        <f t="shared" si="8"/>
        <v/>
      </c>
      <c r="HP50" s="4" t="str">
        <f t="shared" si="9"/>
        <v/>
      </c>
      <c r="HQ50" s="4" t="str">
        <f t="shared" si="10"/>
        <v/>
      </c>
      <c r="HR50" s="4" t="str">
        <f t="shared" si="11"/>
        <v/>
      </c>
      <c r="HS50" s="4" t="str">
        <f t="shared" si="12"/>
        <v/>
      </c>
      <c r="HT50" s="4" t="str">
        <f t="shared" si="13"/>
        <v/>
      </c>
      <c r="HU50" s="4" t="str">
        <f t="shared" si="14"/>
        <v/>
      </c>
      <c r="HV50" s="4" t="str">
        <f t="shared" si="15"/>
        <v/>
      </c>
      <c r="HW50" s="4" t="str">
        <f t="shared" si="16"/>
        <v/>
      </c>
      <c r="HX50" s="4" t="str">
        <f t="shared" si="17"/>
        <v/>
      </c>
      <c r="HY50" s="4" t="str">
        <f t="shared" si="18"/>
        <v/>
      </c>
      <c r="HZ50" s="4" t="str">
        <f t="shared" si="19"/>
        <v/>
      </c>
      <c r="IA50" s="4" t="str">
        <f t="shared" si="20"/>
        <v/>
      </c>
      <c r="IB50" s="4" t="str">
        <f t="shared" si="21"/>
        <v/>
      </c>
      <c r="IC50" s="4" t="str">
        <f t="shared" si="22"/>
        <v/>
      </c>
      <c r="ID50" s="4" t="str">
        <f t="shared" si="23"/>
        <v/>
      </c>
      <c r="IE50" s="4" t="str">
        <f t="shared" si="24"/>
        <v/>
      </c>
      <c r="IF50" s="4" t="str">
        <f t="shared" si="25"/>
        <v/>
      </c>
      <c r="IG50" s="4" t="str">
        <f t="shared" si="26"/>
        <v/>
      </c>
      <c r="IH50" s="4" t="str">
        <f t="shared" si="27"/>
        <v/>
      </c>
      <c r="II50" s="4" t="str">
        <f t="shared" si="28"/>
        <v/>
      </c>
      <c r="IJ50" s="4" t="str">
        <f t="shared" si="29"/>
        <v/>
      </c>
      <c r="IK50" s="4" t="str">
        <f t="shared" si="30"/>
        <v/>
      </c>
      <c r="IL50" s="4" t="str">
        <f t="shared" si="31"/>
        <v/>
      </c>
      <c r="IM50" s="4" t="str">
        <f t="shared" si="32"/>
        <v/>
      </c>
      <c r="IN50" s="4" t="str">
        <f t="shared" si="33"/>
        <v/>
      </c>
      <c r="IO50" s="4" t="str">
        <f t="shared" si="34"/>
        <v/>
      </c>
      <c r="IP50" s="4" t="str">
        <f t="shared" si="35"/>
        <v/>
      </c>
      <c r="IQ50" s="4" t="str">
        <f t="shared" si="36"/>
        <v/>
      </c>
      <c r="IR50" s="4" t="str">
        <f t="shared" si="37"/>
        <v/>
      </c>
      <c r="IS50" s="4" t="str">
        <f t="shared" si="38"/>
        <v/>
      </c>
      <c r="IT50" s="4" t="str">
        <f t="shared" si="39"/>
        <v/>
      </c>
      <c r="IU50" s="4" t="str">
        <f t="shared" si="40"/>
        <v/>
      </c>
      <c r="IV50" s="4" t="str">
        <f t="shared" si="41"/>
        <v/>
      </c>
      <c r="IW50" s="4" t="str">
        <f t="shared" si="42"/>
        <v/>
      </c>
      <c r="IX50" s="4" t="str">
        <f t="shared" si="43"/>
        <v/>
      </c>
      <c r="IY50" s="4" t="str">
        <f t="shared" si="44"/>
        <v/>
      </c>
      <c r="IZ50" s="4" t="str">
        <f t="shared" si="45"/>
        <v/>
      </c>
      <c r="JA50" s="4" t="str">
        <f t="shared" ref="JA50:JB50" si="266">if(ISERROR(SEARCH("Higher Education",BB50)),"","810")</f>
        <v/>
      </c>
      <c r="JB50" s="4" t="str">
        <f t="shared" si="266"/>
        <v/>
      </c>
      <c r="JC50" s="4" t="str">
        <f t="shared" si="47"/>
        <v/>
      </c>
      <c r="JD50" s="4" t="str">
        <f t="shared" si="48"/>
        <v/>
      </c>
      <c r="JE50" s="4" t="str">
        <f t="shared" si="49"/>
        <v/>
      </c>
      <c r="JF50" s="4" t="str">
        <f t="shared" si="50"/>
        <v/>
      </c>
      <c r="JG50" s="4" t="str">
        <f t="shared" si="51"/>
        <v/>
      </c>
      <c r="JH50" s="4" t="str">
        <f t="shared" si="52"/>
        <v/>
      </c>
      <c r="JI50" s="4" t="str">
        <f t="shared" si="53"/>
        <v/>
      </c>
      <c r="JJ50" s="4" t="str">
        <f t="shared" si="54"/>
        <v/>
      </c>
      <c r="JK50" s="4" t="str">
        <f t="shared" si="55"/>
        <v/>
      </c>
      <c r="JL50" s="4" t="str">
        <f t="shared" si="56"/>
        <v/>
      </c>
      <c r="JM50" s="4" t="str">
        <f t="shared" si="57"/>
        <v/>
      </c>
      <c r="JN50" s="4" t="str">
        <f t="shared" si="58"/>
        <v/>
      </c>
      <c r="JO50" s="4" t="str">
        <f t="shared" si="59"/>
        <v/>
      </c>
      <c r="JP50" s="4" t="str">
        <f t="shared" si="60"/>
        <v/>
      </c>
      <c r="JQ50" s="4" t="str">
        <f t="shared" si="61"/>
        <v/>
      </c>
      <c r="JR50" s="4" t="str">
        <f t="shared" si="62"/>
        <v/>
      </c>
      <c r="JS50" s="4" t="str">
        <f t="shared" si="63"/>
        <v/>
      </c>
      <c r="JT50" s="4" t="str">
        <f t="shared" si="64"/>
        <v/>
      </c>
      <c r="JU50" s="4" t="str">
        <f t="shared" si="65"/>
        <v/>
      </c>
      <c r="JV50" s="4" t="str">
        <f t="shared" si="66"/>
        <v/>
      </c>
      <c r="JW50" s="4" t="str">
        <f t="shared" si="67"/>
        <v/>
      </c>
      <c r="JX50" s="4" t="str">
        <f t="shared" si="68"/>
        <v/>
      </c>
      <c r="JY50" s="4" t="str">
        <f t="shared" si="69"/>
        <v/>
      </c>
      <c r="JZ50" s="4" t="str">
        <f t="shared" si="70"/>
        <v/>
      </c>
      <c r="KA50" s="4" t="str">
        <f t="shared" si="71"/>
        <v/>
      </c>
      <c r="KB50" s="4" t="str">
        <f t="shared" si="72"/>
        <v/>
      </c>
      <c r="KC50" s="4" t="str">
        <f t="shared" si="73"/>
        <v/>
      </c>
      <c r="KD50" s="4" t="str">
        <f t="shared" si="74"/>
        <v/>
      </c>
      <c r="KE50" s="4" t="str">
        <f t="shared" si="75"/>
        <v/>
      </c>
      <c r="KF50" s="4" t="str">
        <f t="shared" si="76"/>
        <v/>
      </c>
      <c r="KG50" s="4" t="str">
        <f t="shared" si="77"/>
        <v/>
      </c>
      <c r="KH50" s="4" t="str">
        <f t="shared" si="78"/>
        <v/>
      </c>
      <c r="KI50" s="4" t="str">
        <f t="shared" si="79"/>
        <v/>
      </c>
      <c r="KJ50" s="4" t="str">
        <f t="shared" si="80"/>
        <v/>
      </c>
      <c r="KK50" s="4" t="str">
        <f t="shared" si="81"/>
        <v/>
      </c>
      <c r="KL50" s="4" t="str">
        <f t="shared" si="82"/>
        <v/>
      </c>
      <c r="KM50" s="4" t="str">
        <f t="shared" si="83"/>
        <v/>
      </c>
      <c r="KN50" s="4" t="str">
        <f t="shared" si="84"/>
        <v/>
      </c>
      <c r="KO50" s="4" t="str">
        <f t="shared" si="85"/>
        <v/>
      </c>
      <c r="KP50" s="4" t="str">
        <f t="shared" si="86"/>
        <v/>
      </c>
      <c r="KQ50" s="4" t="str">
        <f t="shared" si="87"/>
        <v/>
      </c>
      <c r="KR50" s="4" t="str">
        <f t="shared" si="88"/>
        <v/>
      </c>
      <c r="KS50" s="4" t="str">
        <f t="shared" si="89"/>
        <v/>
      </c>
      <c r="KT50" s="4" t="str">
        <f t="shared" si="90"/>
        <v/>
      </c>
      <c r="KU50" s="4" t="str">
        <f t="shared" si="91"/>
        <v/>
      </c>
      <c r="KV50" s="4" t="str">
        <f t="shared" si="92"/>
        <v/>
      </c>
      <c r="KW50" s="4" t="str">
        <f t="shared" si="93"/>
        <v/>
      </c>
      <c r="KX50" s="4" t="str">
        <f t="shared" si="94"/>
        <v/>
      </c>
      <c r="KY50" s="4" t="str">
        <f t="shared" si="95"/>
        <v/>
      </c>
      <c r="KZ50" s="4" t="str">
        <f t="shared" si="96"/>
        <v/>
      </c>
      <c r="LA50" s="4" t="str">
        <f t="shared" si="97"/>
        <v/>
      </c>
      <c r="LB50" s="4" t="str">
        <f t="shared" si="98"/>
        <v/>
      </c>
      <c r="LC50" s="4" t="str">
        <f t="shared" si="99"/>
        <v/>
      </c>
      <c r="LD50" s="4" t="str">
        <f t="shared" si="100"/>
        <v/>
      </c>
      <c r="LE50" s="4" t="str">
        <f t="shared" si="101"/>
        <v/>
      </c>
      <c r="LF50" s="4" t="str">
        <f t="shared" si="102"/>
        <v/>
      </c>
      <c r="LG50" s="4" t="str">
        <f t="shared" si="103"/>
        <v/>
      </c>
      <c r="LH50" s="4" t="str">
        <f t="shared" si="104"/>
        <v/>
      </c>
      <c r="LI50" s="4" t="str">
        <f t="shared" si="105"/>
        <v/>
      </c>
      <c r="LJ50" s="4" t="str">
        <f t="shared" si="106"/>
        <v/>
      </c>
      <c r="LK50" s="4" t="str">
        <f t="shared" si="107"/>
        <v/>
      </c>
      <c r="LL50" s="4" t="str">
        <f t="shared" si="108"/>
        <v/>
      </c>
      <c r="LM50" s="4" t="str">
        <f t="shared" si="109"/>
        <v/>
      </c>
      <c r="LN50" s="4" t="str">
        <f t="shared" si="110"/>
        <v/>
      </c>
      <c r="LO50" s="4" t="str">
        <f t="shared" si="111"/>
        <v/>
      </c>
      <c r="LP50" s="4" t="str">
        <f t="shared" si="112"/>
        <v/>
      </c>
      <c r="LQ50" s="4" t="str">
        <f t="shared" si="113"/>
        <v/>
      </c>
      <c r="LR50" s="4" t="str">
        <f t="shared" si="114"/>
        <v/>
      </c>
      <c r="LS50" s="4" t="str">
        <f t="shared" si="115"/>
        <v/>
      </c>
      <c r="LT50" s="4" t="str">
        <f t="shared" si="116"/>
        <v/>
      </c>
      <c r="LU50" s="4" t="str">
        <f t="shared" si="117"/>
        <v/>
      </c>
      <c r="LV50" s="4" t="str">
        <f t="shared" si="118"/>
        <v/>
      </c>
      <c r="LW50" s="4" t="str">
        <f t="shared" si="119"/>
        <v/>
      </c>
      <c r="LX50" s="4" t="str">
        <f t="shared" si="120"/>
        <v/>
      </c>
      <c r="LY50" s="4" t="str">
        <f t="shared" si="121"/>
        <v/>
      </c>
      <c r="LZ50" s="4" t="str">
        <f t="shared" si="122"/>
        <v/>
      </c>
      <c r="MA50" s="4" t="str">
        <f t="shared" si="123"/>
        <v/>
      </c>
      <c r="MB50" s="4" t="str">
        <f t="shared" si="124"/>
        <v/>
      </c>
      <c r="MC50" s="4" t="str">
        <f t="shared" si="125"/>
        <v/>
      </c>
      <c r="MD50" s="4" t="str">
        <f t="shared" si="126"/>
        <v/>
      </c>
      <c r="ME50" s="4" t="str">
        <f t="shared" si="127"/>
        <v/>
      </c>
      <c r="MF50" s="4" t="str">
        <f t="shared" si="128"/>
        <v/>
      </c>
      <c r="MG50" s="4" t="str">
        <f t="shared" si="129"/>
        <v/>
      </c>
      <c r="MH50" s="4" t="str">
        <f t="shared" si="130"/>
        <v/>
      </c>
      <c r="MI50" s="4" t="str">
        <f t="shared" si="131"/>
        <v/>
      </c>
      <c r="MJ50" s="4" t="str">
        <f t="shared" si="132"/>
        <v/>
      </c>
      <c r="MK50" s="4" t="str">
        <f t="shared" si="133"/>
        <v/>
      </c>
      <c r="ML50" s="4" t="str">
        <f t="shared" si="134"/>
        <v/>
      </c>
      <c r="MM50" s="4" t="str">
        <f t="shared" si="135"/>
        <v/>
      </c>
      <c r="MN50" s="4" t="str">
        <f t="shared" si="136"/>
        <v/>
      </c>
      <c r="MO50" s="4" t="str">
        <f t="shared" si="137"/>
        <v/>
      </c>
      <c r="MP50" s="4" t="str">
        <f t="shared" si="138"/>
        <v/>
      </c>
      <c r="MQ50" s="4" t="str">
        <f t="shared" si="139"/>
        <v/>
      </c>
      <c r="MR50" s="4" t="str">
        <f t="shared" si="140"/>
        <v/>
      </c>
      <c r="MS50" s="4" t="str">
        <f t="shared" si="141"/>
        <v/>
      </c>
      <c r="MT50" s="4" t="str">
        <f t="shared" si="142"/>
        <v/>
      </c>
      <c r="MU50" s="4" t="str">
        <f t="shared" si="143"/>
        <v/>
      </c>
      <c r="MV50" s="4" t="str">
        <f t="shared" si="144"/>
        <v/>
      </c>
      <c r="MW50" s="4" t="str">
        <f t="shared" si="145"/>
        <v/>
      </c>
      <c r="MX50" s="4" t="str">
        <f t="shared" si="146"/>
        <v/>
      </c>
      <c r="MY50" s="4" t="str">
        <f t="shared" si="147"/>
        <v/>
      </c>
      <c r="MZ50" s="4" t="str">
        <f t="shared" si="148"/>
        <v/>
      </c>
      <c r="NA50" s="4" t="str">
        <f t="shared" si="149"/>
        <v/>
      </c>
      <c r="NB50" s="4" t="str">
        <f t="shared" si="150"/>
        <v/>
      </c>
      <c r="NC50" s="4" t="str">
        <f t="shared" si="151"/>
        <v/>
      </c>
      <c r="ND50" s="4" t="str">
        <f t="shared" si="152"/>
        <v/>
      </c>
      <c r="NE50" s="4" t="str">
        <f t="shared" si="153"/>
        <v/>
      </c>
      <c r="NF50" s="4" t="str">
        <f t="shared" si="154"/>
        <v/>
      </c>
      <c r="NG50" s="4" t="str">
        <f t="shared" si="155"/>
        <v/>
      </c>
      <c r="NH50" s="4" t="str">
        <f t="shared" si="156"/>
        <v/>
      </c>
      <c r="NI50" s="4" t="str">
        <f t="shared" si="157"/>
        <v/>
      </c>
      <c r="NJ50" s="4" t="str">
        <f t="shared" si="158"/>
        <v/>
      </c>
      <c r="NK50" s="4" t="str">
        <f t="shared" si="159"/>
        <v/>
      </c>
      <c r="NL50" s="4" t="str">
        <f t="shared" si="160"/>
        <v/>
      </c>
      <c r="NM50" s="4" t="str">
        <f t="shared" si="161"/>
        <v/>
      </c>
      <c r="NN50" s="4" t="str">
        <f t="shared" si="162"/>
        <v/>
      </c>
      <c r="NO50" s="4" t="str">
        <f t="shared" si="163"/>
        <v/>
      </c>
      <c r="NP50" s="4" t="str">
        <f t="shared" si="164"/>
        <v/>
      </c>
      <c r="NQ50" s="4" t="str">
        <f t="shared" si="165"/>
        <v/>
      </c>
      <c r="NR50" s="4" t="str">
        <f t="shared" si="166"/>
        <v/>
      </c>
      <c r="NS50" s="4" t="str">
        <f t="shared" si="167"/>
        <v/>
      </c>
      <c r="NT50" s="4" t="str">
        <f t="shared" si="168"/>
        <v/>
      </c>
      <c r="NU50" s="4" t="str">
        <f t="shared" si="169"/>
        <v/>
      </c>
      <c r="NV50" s="4" t="str">
        <f t="shared" si="170"/>
        <v/>
      </c>
      <c r="NW50" s="4" t="str">
        <f t="shared" si="171"/>
        <v/>
      </c>
      <c r="NX50" s="4" t="str">
        <f t="shared" si="172"/>
        <v/>
      </c>
      <c r="NY50" s="4" t="str">
        <f t="shared" si="173"/>
        <v/>
      </c>
      <c r="NZ50" s="4" t="str">
        <f t="shared" si="174"/>
        <v/>
      </c>
      <c r="OA50" s="4" t="str">
        <f t="shared" si="175"/>
        <v/>
      </c>
      <c r="OB50" s="4" t="str">
        <f t="shared" si="176"/>
        <v/>
      </c>
      <c r="OC50" s="4" t="str">
        <f t="shared" si="177"/>
        <v/>
      </c>
      <c r="OD50" s="4" t="str">
        <f t="shared" si="178"/>
        <v/>
      </c>
      <c r="OE50" s="4" t="str">
        <f t="shared" si="179"/>
        <v/>
      </c>
      <c r="OF50" s="4" t="str">
        <f t="shared" si="180"/>
        <v/>
      </c>
      <c r="OG50" s="4" t="str">
        <f t="shared" si="181"/>
        <v/>
      </c>
      <c r="OH50" s="4" t="str">
        <f t="shared" si="182"/>
        <v/>
      </c>
      <c r="OI50" s="4" t="str">
        <f t="shared" si="183"/>
        <v/>
      </c>
      <c r="OJ50" s="4" t="str">
        <f t="shared" si="184"/>
        <v/>
      </c>
      <c r="OK50" s="4" t="str">
        <f t="shared" si="185"/>
        <v/>
      </c>
      <c r="OL50" s="4" t="str">
        <f t="shared" si="186"/>
        <v/>
      </c>
      <c r="OM50" s="4" t="str">
        <f t="shared" si="187"/>
        <v/>
      </c>
      <c r="ON50" s="4" t="str">
        <f t="shared" si="188"/>
        <v/>
      </c>
      <c r="OO50" s="4" t="str">
        <f t="shared" si="189"/>
        <v/>
      </c>
      <c r="OP50" s="4" t="str">
        <f t="shared" si="190"/>
        <v/>
      </c>
      <c r="OQ50" s="4" t="str">
        <f t="shared" si="191"/>
        <v/>
      </c>
      <c r="OR50" s="4" t="str">
        <f t="shared" si="192"/>
        <v/>
      </c>
      <c r="OS50" s="4" t="str">
        <f t="shared" si="193"/>
        <v/>
      </c>
      <c r="OT50" s="4" t="str">
        <f t="shared" si="194"/>
        <v/>
      </c>
      <c r="OU50" s="4" t="str">
        <f t="shared" si="195"/>
        <v/>
      </c>
      <c r="OV50" s="4" t="str">
        <f t="shared" si="196"/>
        <v/>
      </c>
      <c r="OW50" s="4" t="str">
        <f t="shared" si="197"/>
        <v/>
      </c>
      <c r="OX50" s="4" t="str">
        <f t="shared" si="198"/>
        <v/>
      </c>
      <c r="OY50" s="4" t="str">
        <f t="shared" si="199"/>
        <v/>
      </c>
      <c r="OZ50" s="4" t="str">
        <f t="shared" si="200"/>
        <v/>
      </c>
      <c r="PA50" s="4" t="str">
        <f t="shared" si="201"/>
        <v/>
      </c>
      <c r="PB50" s="4" t="str">
        <f t="shared" si="202"/>
        <v/>
      </c>
      <c r="PC50" s="4" t="str">
        <f t="shared" si="203"/>
        <v/>
      </c>
      <c r="PD50" s="4" t="str">
        <f t="shared" si="204"/>
        <v/>
      </c>
      <c r="PE50" s="4" t="str">
        <f t="shared" si="205"/>
        <v/>
      </c>
      <c r="PF50" s="4" t="str">
        <f t="shared" si="206"/>
        <v/>
      </c>
      <c r="PG50" s="4" t="str">
        <f t="shared" si="207"/>
        <v/>
      </c>
      <c r="PH50" s="4" t="str">
        <f t="shared" si="208"/>
        <v/>
      </c>
      <c r="PI50" s="4" t="str">
        <f t="shared" si="209"/>
        <v/>
      </c>
      <c r="PJ50" s="4" t="str">
        <f t="shared" si="210"/>
        <v/>
      </c>
      <c r="PK50" s="4" t="str">
        <f t="shared" si="211"/>
        <v/>
      </c>
      <c r="PL50" s="4" t="str">
        <f t="shared" si="212"/>
        <v/>
      </c>
      <c r="PM50" s="4" t="str">
        <f t="shared" si="213"/>
        <v/>
      </c>
      <c r="PN50" s="4" t="str">
        <f t="shared" si="214"/>
        <v/>
      </c>
      <c r="PO50" s="4" t="str">
        <f t="shared" si="215"/>
        <v/>
      </c>
      <c r="PP50" s="4" t="str">
        <f t="shared" si="216"/>
        <v/>
      </c>
      <c r="PQ50" s="4" t="str">
        <f t="shared" si="217"/>
        <v/>
      </c>
      <c r="PR50" s="4" t="str">
        <f t="shared" si="218"/>
        <v/>
      </c>
      <c r="PS50" s="4" t="str">
        <f t="shared" si="219"/>
        <v/>
      </c>
    </row>
    <row r="51">
      <c r="HI51" s="4" t="str">
        <f t="shared" si="2"/>
        <v/>
      </c>
      <c r="HJ51" s="4" t="str">
        <f t="shared" si="3"/>
        <v/>
      </c>
      <c r="HK51" s="4" t="str">
        <f t="shared" si="4"/>
        <v/>
      </c>
      <c r="HL51" s="4" t="str">
        <f t="shared" si="5"/>
        <v/>
      </c>
      <c r="HM51" s="4" t="str">
        <f t="shared" si="6"/>
        <v/>
      </c>
      <c r="HN51" s="4" t="str">
        <f t="shared" si="7"/>
        <v/>
      </c>
      <c r="HO51" s="4" t="str">
        <f t="shared" si="8"/>
        <v/>
      </c>
      <c r="HP51" s="4" t="str">
        <f t="shared" si="9"/>
        <v/>
      </c>
      <c r="HQ51" s="4" t="str">
        <f t="shared" si="10"/>
        <v/>
      </c>
      <c r="HR51" s="4" t="str">
        <f t="shared" si="11"/>
        <v/>
      </c>
      <c r="HS51" s="4" t="str">
        <f t="shared" si="12"/>
        <v/>
      </c>
      <c r="HT51" s="4" t="str">
        <f t="shared" si="13"/>
        <v/>
      </c>
      <c r="HU51" s="4" t="str">
        <f t="shared" si="14"/>
        <v/>
      </c>
      <c r="HV51" s="4" t="str">
        <f t="shared" si="15"/>
        <v/>
      </c>
      <c r="HW51" s="4" t="str">
        <f t="shared" si="16"/>
        <v/>
      </c>
      <c r="HX51" s="4" t="str">
        <f t="shared" si="17"/>
        <v/>
      </c>
      <c r="HY51" s="4" t="str">
        <f t="shared" si="18"/>
        <v/>
      </c>
      <c r="HZ51" s="4" t="str">
        <f t="shared" si="19"/>
        <v/>
      </c>
      <c r="IA51" s="4" t="str">
        <f t="shared" si="20"/>
        <v/>
      </c>
      <c r="IB51" s="4" t="str">
        <f t="shared" si="21"/>
        <v/>
      </c>
      <c r="IC51" s="4" t="str">
        <f t="shared" si="22"/>
        <v/>
      </c>
      <c r="ID51" s="4" t="str">
        <f t="shared" si="23"/>
        <v/>
      </c>
      <c r="IE51" s="4" t="str">
        <f t="shared" si="24"/>
        <v/>
      </c>
      <c r="IF51" s="4" t="str">
        <f t="shared" si="25"/>
        <v/>
      </c>
      <c r="IG51" s="4" t="str">
        <f t="shared" si="26"/>
        <v/>
      </c>
      <c r="IH51" s="4" t="str">
        <f t="shared" si="27"/>
        <v/>
      </c>
      <c r="II51" s="4" t="str">
        <f t="shared" si="28"/>
        <v/>
      </c>
      <c r="IJ51" s="4" t="str">
        <f t="shared" si="29"/>
        <v/>
      </c>
      <c r="IK51" s="4" t="str">
        <f t="shared" si="30"/>
        <v/>
      </c>
      <c r="IL51" s="4" t="str">
        <f t="shared" si="31"/>
        <v/>
      </c>
      <c r="IM51" s="4" t="str">
        <f t="shared" si="32"/>
        <v/>
      </c>
      <c r="IN51" s="4" t="str">
        <f t="shared" si="33"/>
        <v/>
      </c>
      <c r="IO51" s="4" t="str">
        <f t="shared" si="34"/>
        <v/>
      </c>
      <c r="IP51" s="4" t="str">
        <f t="shared" si="35"/>
        <v/>
      </c>
      <c r="IQ51" s="4" t="str">
        <f t="shared" si="36"/>
        <v/>
      </c>
      <c r="IR51" s="4" t="str">
        <f t="shared" si="37"/>
        <v/>
      </c>
      <c r="IS51" s="4" t="str">
        <f t="shared" si="38"/>
        <v/>
      </c>
      <c r="IT51" s="4" t="str">
        <f t="shared" si="39"/>
        <v/>
      </c>
      <c r="IU51" s="4" t="str">
        <f t="shared" si="40"/>
        <v/>
      </c>
      <c r="IV51" s="4" t="str">
        <f t="shared" si="41"/>
        <v/>
      </c>
      <c r="IW51" s="4" t="str">
        <f t="shared" si="42"/>
        <v/>
      </c>
      <c r="IX51" s="4" t="str">
        <f t="shared" si="43"/>
        <v/>
      </c>
      <c r="IY51" s="4" t="str">
        <f t="shared" si="44"/>
        <v/>
      </c>
      <c r="IZ51" s="4" t="str">
        <f t="shared" si="45"/>
        <v/>
      </c>
      <c r="JA51" s="4" t="str">
        <f t="shared" ref="JA51:JB51" si="267">if(ISERROR(SEARCH("Higher Education",BB51)),"","810")</f>
        <v/>
      </c>
      <c r="JB51" s="4" t="str">
        <f t="shared" si="267"/>
        <v/>
      </c>
      <c r="JC51" s="4" t="str">
        <f t="shared" si="47"/>
        <v/>
      </c>
      <c r="JD51" s="4" t="str">
        <f t="shared" si="48"/>
        <v/>
      </c>
      <c r="JE51" s="4" t="str">
        <f t="shared" si="49"/>
        <v/>
      </c>
      <c r="JF51" s="4" t="str">
        <f t="shared" si="50"/>
        <v/>
      </c>
      <c r="JG51" s="4" t="str">
        <f t="shared" si="51"/>
        <v/>
      </c>
      <c r="JH51" s="4" t="str">
        <f t="shared" si="52"/>
        <v/>
      </c>
      <c r="JI51" s="4" t="str">
        <f t="shared" si="53"/>
        <v/>
      </c>
      <c r="JJ51" s="4" t="str">
        <f t="shared" si="54"/>
        <v/>
      </c>
      <c r="JK51" s="4" t="str">
        <f t="shared" si="55"/>
        <v/>
      </c>
      <c r="JL51" s="4" t="str">
        <f t="shared" si="56"/>
        <v/>
      </c>
      <c r="JM51" s="4" t="str">
        <f t="shared" si="57"/>
        <v/>
      </c>
      <c r="JN51" s="4" t="str">
        <f t="shared" si="58"/>
        <v/>
      </c>
      <c r="JO51" s="4" t="str">
        <f t="shared" si="59"/>
        <v/>
      </c>
      <c r="JP51" s="4" t="str">
        <f t="shared" si="60"/>
        <v/>
      </c>
      <c r="JQ51" s="4" t="str">
        <f t="shared" si="61"/>
        <v/>
      </c>
      <c r="JR51" s="4" t="str">
        <f t="shared" si="62"/>
        <v/>
      </c>
      <c r="JS51" s="4" t="str">
        <f t="shared" si="63"/>
        <v/>
      </c>
      <c r="JT51" s="4" t="str">
        <f t="shared" si="64"/>
        <v/>
      </c>
      <c r="JU51" s="4" t="str">
        <f t="shared" si="65"/>
        <v/>
      </c>
      <c r="JV51" s="4" t="str">
        <f t="shared" si="66"/>
        <v/>
      </c>
      <c r="JW51" s="4" t="str">
        <f t="shared" si="67"/>
        <v/>
      </c>
      <c r="JX51" s="4" t="str">
        <f t="shared" si="68"/>
        <v/>
      </c>
      <c r="JY51" s="4" t="str">
        <f t="shared" si="69"/>
        <v/>
      </c>
      <c r="JZ51" s="4" t="str">
        <f t="shared" si="70"/>
        <v/>
      </c>
      <c r="KA51" s="4" t="str">
        <f t="shared" si="71"/>
        <v/>
      </c>
      <c r="KB51" s="4" t="str">
        <f t="shared" si="72"/>
        <v/>
      </c>
      <c r="KC51" s="4" t="str">
        <f t="shared" si="73"/>
        <v/>
      </c>
      <c r="KD51" s="4" t="str">
        <f t="shared" si="74"/>
        <v/>
      </c>
      <c r="KE51" s="4" t="str">
        <f t="shared" si="75"/>
        <v/>
      </c>
      <c r="KF51" s="4" t="str">
        <f t="shared" si="76"/>
        <v/>
      </c>
      <c r="KG51" s="4" t="str">
        <f t="shared" si="77"/>
        <v/>
      </c>
      <c r="KH51" s="4" t="str">
        <f t="shared" si="78"/>
        <v/>
      </c>
      <c r="KI51" s="4" t="str">
        <f t="shared" si="79"/>
        <v/>
      </c>
      <c r="KJ51" s="4" t="str">
        <f t="shared" si="80"/>
        <v/>
      </c>
      <c r="KK51" s="4" t="str">
        <f t="shared" si="81"/>
        <v/>
      </c>
      <c r="KL51" s="4" t="str">
        <f t="shared" si="82"/>
        <v/>
      </c>
      <c r="KM51" s="4" t="str">
        <f t="shared" si="83"/>
        <v/>
      </c>
      <c r="KN51" s="4" t="str">
        <f t="shared" si="84"/>
        <v/>
      </c>
      <c r="KO51" s="4" t="str">
        <f t="shared" si="85"/>
        <v/>
      </c>
      <c r="KP51" s="4" t="str">
        <f t="shared" si="86"/>
        <v/>
      </c>
      <c r="KQ51" s="4" t="str">
        <f t="shared" si="87"/>
        <v/>
      </c>
      <c r="KR51" s="4" t="str">
        <f t="shared" si="88"/>
        <v/>
      </c>
      <c r="KS51" s="4" t="str">
        <f t="shared" si="89"/>
        <v/>
      </c>
      <c r="KT51" s="4" t="str">
        <f t="shared" si="90"/>
        <v/>
      </c>
      <c r="KU51" s="4" t="str">
        <f t="shared" si="91"/>
        <v/>
      </c>
      <c r="KV51" s="4" t="str">
        <f t="shared" si="92"/>
        <v/>
      </c>
      <c r="KW51" s="4" t="str">
        <f t="shared" si="93"/>
        <v/>
      </c>
      <c r="KX51" s="4" t="str">
        <f t="shared" si="94"/>
        <v/>
      </c>
      <c r="KY51" s="4" t="str">
        <f t="shared" si="95"/>
        <v/>
      </c>
      <c r="KZ51" s="4" t="str">
        <f t="shared" si="96"/>
        <v/>
      </c>
      <c r="LA51" s="4" t="str">
        <f t="shared" si="97"/>
        <v/>
      </c>
      <c r="LB51" s="4" t="str">
        <f t="shared" si="98"/>
        <v/>
      </c>
      <c r="LC51" s="4" t="str">
        <f t="shared" si="99"/>
        <v/>
      </c>
      <c r="LD51" s="4" t="str">
        <f t="shared" si="100"/>
        <v/>
      </c>
      <c r="LE51" s="4" t="str">
        <f t="shared" si="101"/>
        <v/>
      </c>
      <c r="LF51" s="4" t="str">
        <f t="shared" si="102"/>
        <v/>
      </c>
      <c r="LG51" s="4" t="str">
        <f t="shared" si="103"/>
        <v/>
      </c>
      <c r="LH51" s="4" t="str">
        <f t="shared" si="104"/>
        <v/>
      </c>
      <c r="LI51" s="4" t="str">
        <f t="shared" si="105"/>
        <v/>
      </c>
      <c r="LJ51" s="4" t="str">
        <f t="shared" si="106"/>
        <v/>
      </c>
      <c r="LK51" s="4" t="str">
        <f t="shared" si="107"/>
        <v/>
      </c>
      <c r="LL51" s="4" t="str">
        <f t="shared" si="108"/>
        <v/>
      </c>
      <c r="LM51" s="4" t="str">
        <f t="shared" si="109"/>
        <v/>
      </c>
      <c r="LN51" s="4" t="str">
        <f t="shared" si="110"/>
        <v/>
      </c>
      <c r="LO51" s="4" t="str">
        <f t="shared" si="111"/>
        <v/>
      </c>
      <c r="LP51" s="4" t="str">
        <f t="shared" si="112"/>
        <v/>
      </c>
      <c r="LQ51" s="4" t="str">
        <f t="shared" si="113"/>
        <v/>
      </c>
      <c r="LR51" s="4" t="str">
        <f t="shared" si="114"/>
        <v/>
      </c>
      <c r="LS51" s="4" t="str">
        <f t="shared" si="115"/>
        <v/>
      </c>
      <c r="LT51" s="4" t="str">
        <f t="shared" si="116"/>
        <v/>
      </c>
      <c r="LU51" s="4" t="str">
        <f t="shared" si="117"/>
        <v/>
      </c>
      <c r="LV51" s="4" t="str">
        <f t="shared" si="118"/>
        <v/>
      </c>
      <c r="LW51" s="4" t="str">
        <f t="shared" si="119"/>
        <v/>
      </c>
      <c r="LX51" s="4" t="str">
        <f t="shared" si="120"/>
        <v/>
      </c>
      <c r="LY51" s="4" t="str">
        <f t="shared" si="121"/>
        <v/>
      </c>
      <c r="LZ51" s="4" t="str">
        <f t="shared" si="122"/>
        <v/>
      </c>
      <c r="MA51" s="4" t="str">
        <f t="shared" si="123"/>
        <v/>
      </c>
      <c r="MB51" s="4" t="str">
        <f t="shared" si="124"/>
        <v/>
      </c>
      <c r="MC51" s="4" t="str">
        <f t="shared" si="125"/>
        <v/>
      </c>
      <c r="MD51" s="4" t="str">
        <f t="shared" si="126"/>
        <v/>
      </c>
      <c r="ME51" s="4" t="str">
        <f t="shared" si="127"/>
        <v/>
      </c>
      <c r="MF51" s="4" t="str">
        <f t="shared" si="128"/>
        <v/>
      </c>
      <c r="MG51" s="4" t="str">
        <f t="shared" si="129"/>
        <v/>
      </c>
      <c r="MH51" s="4" t="str">
        <f t="shared" si="130"/>
        <v/>
      </c>
      <c r="MI51" s="4" t="str">
        <f t="shared" si="131"/>
        <v/>
      </c>
      <c r="MJ51" s="4" t="str">
        <f t="shared" si="132"/>
        <v/>
      </c>
      <c r="MK51" s="4" t="str">
        <f t="shared" si="133"/>
        <v/>
      </c>
      <c r="ML51" s="4" t="str">
        <f t="shared" si="134"/>
        <v/>
      </c>
      <c r="MM51" s="4" t="str">
        <f t="shared" si="135"/>
        <v/>
      </c>
      <c r="MN51" s="4" t="str">
        <f t="shared" si="136"/>
        <v/>
      </c>
      <c r="MO51" s="4" t="str">
        <f t="shared" si="137"/>
        <v/>
      </c>
      <c r="MP51" s="4" t="str">
        <f t="shared" si="138"/>
        <v/>
      </c>
      <c r="MQ51" s="4" t="str">
        <f t="shared" si="139"/>
        <v/>
      </c>
      <c r="MR51" s="4" t="str">
        <f t="shared" si="140"/>
        <v/>
      </c>
      <c r="MS51" s="4" t="str">
        <f t="shared" si="141"/>
        <v/>
      </c>
      <c r="MT51" s="4" t="str">
        <f t="shared" si="142"/>
        <v/>
      </c>
      <c r="MU51" s="4" t="str">
        <f t="shared" si="143"/>
        <v/>
      </c>
      <c r="MV51" s="4" t="str">
        <f t="shared" si="144"/>
        <v/>
      </c>
      <c r="MW51" s="4" t="str">
        <f t="shared" si="145"/>
        <v/>
      </c>
      <c r="MX51" s="4" t="str">
        <f t="shared" si="146"/>
        <v/>
      </c>
      <c r="MY51" s="4" t="str">
        <f t="shared" si="147"/>
        <v/>
      </c>
      <c r="MZ51" s="4" t="str">
        <f t="shared" si="148"/>
        <v/>
      </c>
      <c r="NA51" s="4" t="str">
        <f t="shared" si="149"/>
        <v/>
      </c>
      <c r="NB51" s="4" t="str">
        <f t="shared" si="150"/>
        <v/>
      </c>
      <c r="NC51" s="4" t="str">
        <f t="shared" si="151"/>
        <v/>
      </c>
      <c r="ND51" s="4" t="str">
        <f t="shared" si="152"/>
        <v/>
      </c>
      <c r="NE51" s="4" t="str">
        <f t="shared" si="153"/>
        <v/>
      </c>
      <c r="NF51" s="4" t="str">
        <f t="shared" si="154"/>
        <v/>
      </c>
      <c r="NG51" s="4" t="str">
        <f t="shared" si="155"/>
        <v/>
      </c>
      <c r="NH51" s="4" t="str">
        <f t="shared" si="156"/>
        <v/>
      </c>
      <c r="NI51" s="4" t="str">
        <f t="shared" si="157"/>
        <v/>
      </c>
      <c r="NJ51" s="4" t="str">
        <f t="shared" si="158"/>
        <v/>
      </c>
      <c r="NK51" s="4" t="str">
        <f t="shared" si="159"/>
        <v/>
      </c>
      <c r="NL51" s="4" t="str">
        <f t="shared" si="160"/>
        <v/>
      </c>
      <c r="NM51" s="4" t="str">
        <f t="shared" si="161"/>
        <v/>
      </c>
      <c r="NN51" s="4" t="str">
        <f t="shared" si="162"/>
        <v/>
      </c>
      <c r="NO51" s="4" t="str">
        <f t="shared" si="163"/>
        <v/>
      </c>
      <c r="NP51" s="4" t="str">
        <f t="shared" si="164"/>
        <v/>
      </c>
      <c r="NQ51" s="4" t="str">
        <f t="shared" si="165"/>
        <v/>
      </c>
      <c r="NR51" s="4" t="str">
        <f t="shared" si="166"/>
        <v/>
      </c>
      <c r="NS51" s="4" t="str">
        <f t="shared" si="167"/>
        <v/>
      </c>
      <c r="NT51" s="4" t="str">
        <f t="shared" si="168"/>
        <v/>
      </c>
      <c r="NU51" s="4" t="str">
        <f t="shared" si="169"/>
        <v/>
      </c>
      <c r="NV51" s="4" t="str">
        <f t="shared" si="170"/>
        <v/>
      </c>
      <c r="NW51" s="4" t="str">
        <f t="shared" si="171"/>
        <v/>
      </c>
      <c r="NX51" s="4" t="str">
        <f t="shared" si="172"/>
        <v/>
      </c>
      <c r="NY51" s="4" t="str">
        <f t="shared" si="173"/>
        <v/>
      </c>
      <c r="NZ51" s="4" t="str">
        <f t="shared" si="174"/>
        <v/>
      </c>
      <c r="OA51" s="4" t="str">
        <f t="shared" si="175"/>
        <v/>
      </c>
      <c r="OB51" s="4" t="str">
        <f t="shared" si="176"/>
        <v/>
      </c>
      <c r="OC51" s="4" t="str">
        <f t="shared" si="177"/>
        <v/>
      </c>
      <c r="OD51" s="4" t="str">
        <f t="shared" si="178"/>
        <v/>
      </c>
      <c r="OE51" s="4" t="str">
        <f t="shared" si="179"/>
        <v/>
      </c>
      <c r="OF51" s="4" t="str">
        <f t="shared" si="180"/>
        <v/>
      </c>
      <c r="OG51" s="4" t="str">
        <f t="shared" si="181"/>
        <v/>
      </c>
      <c r="OH51" s="4" t="str">
        <f t="shared" si="182"/>
        <v/>
      </c>
      <c r="OI51" s="4" t="str">
        <f t="shared" si="183"/>
        <v/>
      </c>
      <c r="OJ51" s="4" t="str">
        <f t="shared" si="184"/>
        <v/>
      </c>
      <c r="OK51" s="4" t="str">
        <f t="shared" si="185"/>
        <v/>
      </c>
      <c r="OL51" s="4" t="str">
        <f t="shared" si="186"/>
        <v/>
      </c>
      <c r="OM51" s="4" t="str">
        <f t="shared" si="187"/>
        <v/>
      </c>
      <c r="ON51" s="4" t="str">
        <f t="shared" si="188"/>
        <v/>
      </c>
      <c r="OO51" s="4" t="str">
        <f t="shared" si="189"/>
        <v/>
      </c>
      <c r="OP51" s="4" t="str">
        <f t="shared" si="190"/>
        <v/>
      </c>
      <c r="OQ51" s="4" t="str">
        <f t="shared" si="191"/>
        <v/>
      </c>
      <c r="OR51" s="4" t="str">
        <f t="shared" si="192"/>
        <v/>
      </c>
      <c r="OS51" s="4" t="str">
        <f t="shared" si="193"/>
        <v/>
      </c>
      <c r="OT51" s="4" t="str">
        <f t="shared" si="194"/>
        <v/>
      </c>
      <c r="OU51" s="4" t="str">
        <f t="shared" si="195"/>
        <v/>
      </c>
      <c r="OV51" s="4" t="str">
        <f t="shared" si="196"/>
        <v/>
      </c>
      <c r="OW51" s="4" t="str">
        <f t="shared" si="197"/>
        <v/>
      </c>
      <c r="OX51" s="4" t="str">
        <f t="shared" si="198"/>
        <v/>
      </c>
      <c r="OY51" s="4" t="str">
        <f t="shared" si="199"/>
        <v/>
      </c>
      <c r="OZ51" s="4" t="str">
        <f t="shared" si="200"/>
        <v/>
      </c>
      <c r="PA51" s="4" t="str">
        <f t="shared" si="201"/>
        <v/>
      </c>
      <c r="PB51" s="4" t="str">
        <f t="shared" si="202"/>
        <v/>
      </c>
      <c r="PC51" s="4" t="str">
        <f t="shared" si="203"/>
        <v/>
      </c>
      <c r="PD51" s="4" t="str">
        <f t="shared" si="204"/>
        <v/>
      </c>
      <c r="PE51" s="4" t="str">
        <f t="shared" si="205"/>
        <v/>
      </c>
      <c r="PF51" s="4" t="str">
        <f t="shared" si="206"/>
        <v/>
      </c>
      <c r="PG51" s="4" t="str">
        <f t="shared" si="207"/>
        <v/>
      </c>
      <c r="PH51" s="4" t="str">
        <f t="shared" si="208"/>
        <v/>
      </c>
      <c r="PI51" s="4" t="str">
        <f t="shared" si="209"/>
        <v/>
      </c>
      <c r="PJ51" s="4" t="str">
        <f t="shared" si="210"/>
        <v/>
      </c>
      <c r="PK51" s="4" t="str">
        <f t="shared" si="211"/>
        <v/>
      </c>
      <c r="PL51" s="4" t="str">
        <f t="shared" si="212"/>
        <v/>
      </c>
      <c r="PM51" s="4" t="str">
        <f t="shared" si="213"/>
        <v/>
      </c>
      <c r="PN51" s="4" t="str">
        <f t="shared" si="214"/>
        <v/>
      </c>
      <c r="PO51" s="4" t="str">
        <f t="shared" si="215"/>
        <v/>
      </c>
      <c r="PP51" s="4" t="str">
        <f t="shared" si="216"/>
        <v/>
      </c>
      <c r="PQ51" s="4" t="str">
        <f t="shared" si="217"/>
        <v/>
      </c>
      <c r="PR51" s="4" t="str">
        <f t="shared" si="218"/>
        <v/>
      </c>
      <c r="PS51" s="4" t="str">
        <f t="shared" si="219"/>
        <v/>
      </c>
    </row>
    <row r="52">
      <c r="HI52" s="4" t="str">
        <f t="shared" si="2"/>
        <v/>
      </c>
      <c r="HJ52" s="4" t="str">
        <f t="shared" si="3"/>
        <v/>
      </c>
      <c r="HK52" s="4" t="str">
        <f t="shared" si="4"/>
        <v/>
      </c>
      <c r="HL52" s="4" t="str">
        <f t="shared" si="5"/>
        <v/>
      </c>
      <c r="HM52" s="4" t="str">
        <f t="shared" si="6"/>
        <v/>
      </c>
      <c r="HN52" s="4" t="str">
        <f t="shared" si="7"/>
        <v/>
      </c>
      <c r="HO52" s="4" t="str">
        <f t="shared" si="8"/>
        <v/>
      </c>
      <c r="HP52" s="4" t="str">
        <f t="shared" si="9"/>
        <v/>
      </c>
      <c r="HQ52" s="4" t="str">
        <f t="shared" si="10"/>
        <v/>
      </c>
      <c r="HR52" s="4" t="str">
        <f t="shared" si="11"/>
        <v/>
      </c>
      <c r="HS52" s="4" t="str">
        <f t="shared" si="12"/>
        <v/>
      </c>
      <c r="HT52" s="4" t="str">
        <f t="shared" si="13"/>
        <v/>
      </c>
      <c r="HU52" s="4" t="str">
        <f t="shared" si="14"/>
        <v/>
      </c>
      <c r="HV52" s="4" t="str">
        <f t="shared" si="15"/>
        <v/>
      </c>
      <c r="HW52" s="4" t="str">
        <f t="shared" si="16"/>
        <v/>
      </c>
      <c r="HX52" s="4" t="str">
        <f t="shared" si="17"/>
        <v/>
      </c>
      <c r="HY52" s="4" t="str">
        <f t="shared" si="18"/>
        <v/>
      </c>
      <c r="HZ52" s="4" t="str">
        <f t="shared" si="19"/>
        <v/>
      </c>
      <c r="IA52" s="4" t="str">
        <f t="shared" si="20"/>
        <v/>
      </c>
      <c r="IB52" s="4" t="str">
        <f t="shared" si="21"/>
        <v/>
      </c>
      <c r="IC52" s="4" t="str">
        <f t="shared" si="22"/>
        <v/>
      </c>
      <c r="ID52" s="4" t="str">
        <f t="shared" si="23"/>
        <v/>
      </c>
      <c r="IE52" s="4" t="str">
        <f t="shared" si="24"/>
        <v/>
      </c>
      <c r="IF52" s="4" t="str">
        <f t="shared" si="25"/>
        <v/>
      </c>
      <c r="IG52" s="4" t="str">
        <f t="shared" si="26"/>
        <v/>
      </c>
      <c r="IH52" s="4" t="str">
        <f t="shared" si="27"/>
        <v/>
      </c>
      <c r="II52" s="4" t="str">
        <f t="shared" si="28"/>
        <v/>
      </c>
      <c r="IJ52" s="4" t="str">
        <f t="shared" si="29"/>
        <v/>
      </c>
      <c r="IK52" s="4" t="str">
        <f t="shared" si="30"/>
        <v/>
      </c>
      <c r="IL52" s="4" t="str">
        <f t="shared" si="31"/>
        <v/>
      </c>
      <c r="IM52" s="4" t="str">
        <f t="shared" si="32"/>
        <v/>
      </c>
      <c r="IN52" s="4" t="str">
        <f t="shared" si="33"/>
        <v/>
      </c>
      <c r="IO52" s="4" t="str">
        <f t="shared" si="34"/>
        <v/>
      </c>
      <c r="IP52" s="4" t="str">
        <f t="shared" si="35"/>
        <v/>
      </c>
      <c r="IQ52" s="4" t="str">
        <f t="shared" si="36"/>
        <v/>
      </c>
      <c r="IR52" s="4" t="str">
        <f t="shared" si="37"/>
        <v/>
      </c>
      <c r="IS52" s="4" t="str">
        <f t="shared" si="38"/>
        <v/>
      </c>
      <c r="IT52" s="4" t="str">
        <f t="shared" si="39"/>
        <v/>
      </c>
      <c r="IU52" s="4" t="str">
        <f t="shared" si="40"/>
        <v/>
      </c>
      <c r="IV52" s="4" t="str">
        <f t="shared" si="41"/>
        <v/>
      </c>
      <c r="IW52" s="4" t="str">
        <f t="shared" si="42"/>
        <v/>
      </c>
      <c r="IX52" s="4" t="str">
        <f t="shared" si="43"/>
        <v/>
      </c>
      <c r="IY52" s="4" t="str">
        <f t="shared" si="44"/>
        <v/>
      </c>
      <c r="IZ52" s="4" t="str">
        <f t="shared" si="45"/>
        <v/>
      </c>
      <c r="JA52" s="4" t="str">
        <f t="shared" ref="JA52:JB52" si="268">if(ISERROR(SEARCH("Higher Education",BB52)),"","810")</f>
        <v/>
      </c>
      <c r="JB52" s="4" t="str">
        <f t="shared" si="268"/>
        <v/>
      </c>
      <c r="JC52" s="4" t="str">
        <f t="shared" si="47"/>
        <v/>
      </c>
      <c r="JD52" s="4" t="str">
        <f t="shared" si="48"/>
        <v/>
      </c>
      <c r="JE52" s="4" t="str">
        <f t="shared" si="49"/>
        <v/>
      </c>
      <c r="JF52" s="4" t="str">
        <f t="shared" si="50"/>
        <v/>
      </c>
      <c r="JG52" s="4" t="str">
        <f t="shared" si="51"/>
        <v/>
      </c>
      <c r="JH52" s="4" t="str">
        <f t="shared" si="52"/>
        <v/>
      </c>
      <c r="JI52" s="4" t="str">
        <f t="shared" si="53"/>
        <v/>
      </c>
      <c r="JJ52" s="4" t="str">
        <f t="shared" si="54"/>
        <v/>
      </c>
      <c r="JK52" s="4" t="str">
        <f t="shared" si="55"/>
        <v/>
      </c>
      <c r="JL52" s="4" t="str">
        <f t="shared" si="56"/>
        <v/>
      </c>
      <c r="JM52" s="4" t="str">
        <f t="shared" si="57"/>
        <v/>
      </c>
      <c r="JN52" s="4" t="str">
        <f t="shared" si="58"/>
        <v/>
      </c>
      <c r="JO52" s="4" t="str">
        <f t="shared" si="59"/>
        <v/>
      </c>
      <c r="JP52" s="4" t="str">
        <f t="shared" si="60"/>
        <v/>
      </c>
      <c r="JQ52" s="4" t="str">
        <f t="shared" si="61"/>
        <v/>
      </c>
      <c r="JR52" s="4" t="str">
        <f t="shared" si="62"/>
        <v/>
      </c>
      <c r="JS52" s="4" t="str">
        <f t="shared" si="63"/>
        <v/>
      </c>
      <c r="JT52" s="4" t="str">
        <f t="shared" si="64"/>
        <v/>
      </c>
      <c r="JU52" s="4" t="str">
        <f t="shared" si="65"/>
        <v/>
      </c>
      <c r="JV52" s="4" t="str">
        <f t="shared" si="66"/>
        <v/>
      </c>
      <c r="JW52" s="4" t="str">
        <f t="shared" si="67"/>
        <v/>
      </c>
      <c r="JX52" s="4" t="str">
        <f t="shared" si="68"/>
        <v/>
      </c>
      <c r="JY52" s="4" t="str">
        <f t="shared" si="69"/>
        <v/>
      </c>
      <c r="JZ52" s="4" t="str">
        <f t="shared" si="70"/>
        <v/>
      </c>
      <c r="KA52" s="4" t="str">
        <f t="shared" si="71"/>
        <v/>
      </c>
      <c r="KB52" s="4" t="str">
        <f t="shared" si="72"/>
        <v/>
      </c>
      <c r="KC52" s="4" t="str">
        <f t="shared" si="73"/>
        <v/>
      </c>
      <c r="KD52" s="4" t="str">
        <f t="shared" si="74"/>
        <v/>
      </c>
      <c r="KE52" s="4" t="str">
        <f t="shared" si="75"/>
        <v/>
      </c>
      <c r="KF52" s="4" t="str">
        <f t="shared" si="76"/>
        <v/>
      </c>
      <c r="KG52" s="4" t="str">
        <f t="shared" si="77"/>
        <v/>
      </c>
      <c r="KH52" s="4" t="str">
        <f t="shared" si="78"/>
        <v/>
      </c>
      <c r="KI52" s="4" t="str">
        <f t="shared" si="79"/>
        <v/>
      </c>
      <c r="KJ52" s="4" t="str">
        <f t="shared" si="80"/>
        <v/>
      </c>
      <c r="KK52" s="4" t="str">
        <f t="shared" si="81"/>
        <v/>
      </c>
      <c r="KL52" s="4" t="str">
        <f t="shared" si="82"/>
        <v/>
      </c>
      <c r="KM52" s="4" t="str">
        <f t="shared" si="83"/>
        <v/>
      </c>
      <c r="KN52" s="4" t="str">
        <f t="shared" si="84"/>
        <v/>
      </c>
      <c r="KO52" s="4" t="str">
        <f t="shared" si="85"/>
        <v/>
      </c>
      <c r="KP52" s="4" t="str">
        <f t="shared" si="86"/>
        <v/>
      </c>
      <c r="KQ52" s="4" t="str">
        <f t="shared" si="87"/>
        <v/>
      </c>
      <c r="KR52" s="4" t="str">
        <f t="shared" si="88"/>
        <v/>
      </c>
      <c r="KS52" s="4" t="str">
        <f t="shared" si="89"/>
        <v/>
      </c>
      <c r="KT52" s="4" t="str">
        <f t="shared" si="90"/>
        <v/>
      </c>
      <c r="KU52" s="4" t="str">
        <f t="shared" si="91"/>
        <v/>
      </c>
      <c r="KV52" s="4" t="str">
        <f t="shared" si="92"/>
        <v/>
      </c>
      <c r="KW52" s="4" t="str">
        <f t="shared" si="93"/>
        <v/>
      </c>
      <c r="KX52" s="4" t="str">
        <f t="shared" si="94"/>
        <v/>
      </c>
      <c r="KY52" s="4" t="str">
        <f t="shared" si="95"/>
        <v/>
      </c>
      <c r="KZ52" s="4" t="str">
        <f t="shared" si="96"/>
        <v/>
      </c>
      <c r="LA52" s="4" t="str">
        <f t="shared" si="97"/>
        <v/>
      </c>
      <c r="LB52" s="4" t="str">
        <f t="shared" si="98"/>
        <v/>
      </c>
      <c r="LC52" s="4" t="str">
        <f t="shared" si="99"/>
        <v/>
      </c>
      <c r="LD52" s="4" t="str">
        <f t="shared" si="100"/>
        <v/>
      </c>
      <c r="LE52" s="4" t="str">
        <f t="shared" si="101"/>
        <v/>
      </c>
      <c r="LF52" s="4" t="str">
        <f t="shared" si="102"/>
        <v/>
      </c>
      <c r="LG52" s="4" t="str">
        <f t="shared" si="103"/>
        <v/>
      </c>
      <c r="LH52" s="4" t="str">
        <f t="shared" si="104"/>
        <v/>
      </c>
      <c r="LI52" s="4" t="str">
        <f t="shared" si="105"/>
        <v/>
      </c>
      <c r="LJ52" s="4" t="str">
        <f t="shared" si="106"/>
        <v/>
      </c>
      <c r="LK52" s="4" t="str">
        <f t="shared" si="107"/>
        <v/>
      </c>
      <c r="LL52" s="4" t="str">
        <f t="shared" si="108"/>
        <v/>
      </c>
      <c r="LM52" s="4" t="str">
        <f t="shared" si="109"/>
        <v/>
      </c>
      <c r="LN52" s="4" t="str">
        <f t="shared" si="110"/>
        <v/>
      </c>
      <c r="LO52" s="4" t="str">
        <f t="shared" si="111"/>
        <v/>
      </c>
      <c r="LP52" s="4" t="str">
        <f t="shared" si="112"/>
        <v/>
      </c>
      <c r="LQ52" s="4" t="str">
        <f t="shared" si="113"/>
        <v/>
      </c>
      <c r="LR52" s="4" t="str">
        <f t="shared" si="114"/>
        <v/>
      </c>
      <c r="LS52" s="4" t="str">
        <f t="shared" si="115"/>
        <v/>
      </c>
      <c r="LT52" s="4" t="str">
        <f t="shared" si="116"/>
        <v/>
      </c>
      <c r="LU52" s="4" t="str">
        <f t="shared" si="117"/>
        <v/>
      </c>
      <c r="LV52" s="4" t="str">
        <f t="shared" si="118"/>
        <v/>
      </c>
      <c r="LW52" s="4" t="str">
        <f t="shared" si="119"/>
        <v/>
      </c>
      <c r="LX52" s="4" t="str">
        <f t="shared" si="120"/>
        <v/>
      </c>
      <c r="LY52" s="4" t="str">
        <f t="shared" si="121"/>
        <v/>
      </c>
      <c r="LZ52" s="4" t="str">
        <f t="shared" si="122"/>
        <v/>
      </c>
      <c r="MA52" s="4" t="str">
        <f t="shared" si="123"/>
        <v/>
      </c>
      <c r="MB52" s="4" t="str">
        <f t="shared" si="124"/>
        <v/>
      </c>
      <c r="MC52" s="4" t="str">
        <f t="shared" si="125"/>
        <v/>
      </c>
      <c r="MD52" s="4" t="str">
        <f t="shared" si="126"/>
        <v/>
      </c>
      <c r="ME52" s="4" t="str">
        <f t="shared" si="127"/>
        <v/>
      </c>
      <c r="MF52" s="4" t="str">
        <f t="shared" si="128"/>
        <v/>
      </c>
      <c r="MG52" s="4" t="str">
        <f t="shared" si="129"/>
        <v/>
      </c>
      <c r="MH52" s="4" t="str">
        <f t="shared" si="130"/>
        <v/>
      </c>
      <c r="MI52" s="4" t="str">
        <f t="shared" si="131"/>
        <v/>
      </c>
      <c r="MJ52" s="4" t="str">
        <f t="shared" si="132"/>
        <v/>
      </c>
      <c r="MK52" s="4" t="str">
        <f t="shared" si="133"/>
        <v/>
      </c>
      <c r="ML52" s="4" t="str">
        <f t="shared" si="134"/>
        <v/>
      </c>
      <c r="MM52" s="4" t="str">
        <f t="shared" si="135"/>
        <v/>
      </c>
      <c r="MN52" s="4" t="str">
        <f t="shared" si="136"/>
        <v/>
      </c>
      <c r="MO52" s="4" t="str">
        <f t="shared" si="137"/>
        <v/>
      </c>
      <c r="MP52" s="4" t="str">
        <f t="shared" si="138"/>
        <v/>
      </c>
      <c r="MQ52" s="4" t="str">
        <f t="shared" si="139"/>
        <v/>
      </c>
      <c r="MR52" s="4" t="str">
        <f t="shared" si="140"/>
        <v/>
      </c>
      <c r="MS52" s="4" t="str">
        <f t="shared" si="141"/>
        <v/>
      </c>
      <c r="MT52" s="4" t="str">
        <f t="shared" si="142"/>
        <v/>
      </c>
      <c r="MU52" s="4" t="str">
        <f t="shared" si="143"/>
        <v/>
      </c>
      <c r="MV52" s="4" t="str">
        <f t="shared" si="144"/>
        <v/>
      </c>
      <c r="MW52" s="4" t="str">
        <f t="shared" si="145"/>
        <v/>
      </c>
      <c r="MX52" s="4" t="str">
        <f t="shared" si="146"/>
        <v/>
      </c>
      <c r="MY52" s="4" t="str">
        <f t="shared" si="147"/>
        <v/>
      </c>
      <c r="MZ52" s="4" t="str">
        <f t="shared" si="148"/>
        <v/>
      </c>
      <c r="NA52" s="4" t="str">
        <f t="shared" si="149"/>
        <v/>
      </c>
      <c r="NB52" s="4" t="str">
        <f t="shared" si="150"/>
        <v/>
      </c>
      <c r="NC52" s="4" t="str">
        <f t="shared" si="151"/>
        <v/>
      </c>
      <c r="ND52" s="4" t="str">
        <f t="shared" si="152"/>
        <v/>
      </c>
      <c r="NE52" s="4" t="str">
        <f t="shared" si="153"/>
        <v/>
      </c>
      <c r="NF52" s="4" t="str">
        <f t="shared" si="154"/>
        <v/>
      </c>
      <c r="NG52" s="4" t="str">
        <f t="shared" si="155"/>
        <v/>
      </c>
      <c r="NH52" s="4" t="str">
        <f t="shared" si="156"/>
        <v/>
      </c>
      <c r="NI52" s="4" t="str">
        <f t="shared" si="157"/>
        <v/>
      </c>
      <c r="NJ52" s="4" t="str">
        <f t="shared" si="158"/>
        <v/>
      </c>
      <c r="NK52" s="4" t="str">
        <f t="shared" si="159"/>
        <v/>
      </c>
      <c r="NL52" s="4" t="str">
        <f t="shared" si="160"/>
        <v/>
      </c>
      <c r="NM52" s="4" t="str">
        <f t="shared" si="161"/>
        <v/>
      </c>
      <c r="NN52" s="4" t="str">
        <f t="shared" si="162"/>
        <v/>
      </c>
      <c r="NO52" s="4" t="str">
        <f t="shared" si="163"/>
        <v/>
      </c>
      <c r="NP52" s="4" t="str">
        <f t="shared" si="164"/>
        <v/>
      </c>
      <c r="NQ52" s="4" t="str">
        <f t="shared" si="165"/>
        <v/>
      </c>
      <c r="NR52" s="4" t="str">
        <f t="shared" si="166"/>
        <v/>
      </c>
      <c r="NS52" s="4" t="str">
        <f t="shared" si="167"/>
        <v/>
      </c>
      <c r="NT52" s="4" t="str">
        <f t="shared" si="168"/>
        <v/>
      </c>
      <c r="NU52" s="4" t="str">
        <f t="shared" si="169"/>
        <v/>
      </c>
      <c r="NV52" s="4" t="str">
        <f t="shared" si="170"/>
        <v/>
      </c>
      <c r="NW52" s="4" t="str">
        <f t="shared" si="171"/>
        <v/>
      </c>
      <c r="NX52" s="4" t="str">
        <f t="shared" si="172"/>
        <v/>
      </c>
      <c r="NY52" s="4" t="str">
        <f t="shared" si="173"/>
        <v/>
      </c>
      <c r="NZ52" s="4" t="str">
        <f t="shared" si="174"/>
        <v/>
      </c>
      <c r="OA52" s="4" t="str">
        <f t="shared" si="175"/>
        <v/>
      </c>
      <c r="OB52" s="4" t="str">
        <f t="shared" si="176"/>
        <v/>
      </c>
      <c r="OC52" s="4" t="str">
        <f t="shared" si="177"/>
        <v/>
      </c>
      <c r="OD52" s="4" t="str">
        <f t="shared" si="178"/>
        <v/>
      </c>
      <c r="OE52" s="4" t="str">
        <f t="shared" si="179"/>
        <v/>
      </c>
      <c r="OF52" s="4" t="str">
        <f t="shared" si="180"/>
        <v/>
      </c>
      <c r="OG52" s="4" t="str">
        <f t="shared" si="181"/>
        <v/>
      </c>
      <c r="OH52" s="4" t="str">
        <f t="shared" si="182"/>
        <v/>
      </c>
      <c r="OI52" s="4" t="str">
        <f t="shared" si="183"/>
        <v/>
      </c>
      <c r="OJ52" s="4" t="str">
        <f t="shared" si="184"/>
        <v/>
      </c>
      <c r="OK52" s="4" t="str">
        <f t="shared" si="185"/>
        <v/>
      </c>
      <c r="OL52" s="4" t="str">
        <f t="shared" si="186"/>
        <v/>
      </c>
      <c r="OM52" s="4" t="str">
        <f t="shared" si="187"/>
        <v/>
      </c>
      <c r="ON52" s="4" t="str">
        <f t="shared" si="188"/>
        <v/>
      </c>
      <c r="OO52" s="4" t="str">
        <f t="shared" si="189"/>
        <v/>
      </c>
      <c r="OP52" s="4" t="str">
        <f t="shared" si="190"/>
        <v/>
      </c>
      <c r="OQ52" s="4" t="str">
        <f t="shared" si="191"/>
        <v/>
      </c>
      <c r="OR52" s="4" t="str">
        <f t="shared" si="192"/>
        <v/>
      </c>
      <c r="OS52" s="4" t="str">
        <f t="shared" si="193"/>
        <v/>
      </c>
      <c r="OT52" s="4" t="str">
        <f t="shared" si="194"/>
        <v/>
      </c>
      <c r="OU52" s="4" t="str">
        <f t="shared" si="195"/>
        <v/>
      </c>
      <c r="OV52" s="4" t="str">
        <f t="shared" si="196"/>
        <v/>
      </c>
      <c r="OW52" s="4" t="str">
        <f t="shared" si="197"/>
        <v/>
      </c>
      <c r="OX52" s="4" t="str">
        <f t="shared" si="198"/>
        <v/>
      </c>
      <c r="OY52" s="4" t="str">
        <f t="shared" si="199"/>
        <v/>
      </c>
      <c r="OZ52" s="4" t="str">
        <f t="shared" si="200"/>
        <v/>
      </c>
      <c r="PA52" s="4" t="str">
        <f t="shared" si="201"/>
        <v/>
      </c>
      <c r="PB52" s="4" t="str">
        <f t="shared" si="202"/>
        <v/>
      </c>
      <c r="PC52" s="4" t="str">
        <f t="shared" si="203"/>
        <v/>
      </c>
      <c r="PD52" s="4" t="str">
        <f t="shared" si="204"/>
        <v/>
      </c>
      <c r="PE52" s="4" t="str">
        <f t="shared" si="205"/>
        <v/>
      </c>
      <c r="PF52" s="4" t="str">
        <f t="shared" si="206"/>
        <v/>
      </c>
      <c r="PG52" s="4" t="str">
        <f t="shared" si="207"/>
        <v/>
      </c>
      <c r="PH52" s="4" t="str">
        <f t="shared" si="208"/>
        <v/>
      </c>
      <c r="PI52" s="4" t="str">
        <f t="shared" si="209"/>
        <v/>
      </c>
      <c r="PJ52" s="4" t="str">
        <f t="shared" si="210"/>
        <v/>
      </c>
      <c r="PK52" s="4" t="str">
        <f t="shared" si="211"/>
        <v/>
      </c>
      <c r="PL52" s="4" t="str">
        <f t="shared" si="212"/>
        <v/>
      </c>
      <c r="PM52" s="4" t="str">
        <f t="shared" si="213"/>
        <v/>
      </c>
      <c r="PN52" s="4" t="str">
        <f t="shared" si="214"/>
        <v/>
      </c>
      <c r="PO52" s="4" t="str">
        <f t="shared" si="215"/>
        <v/>
      </c>
      <c r="PP52" s="4" t="str">
        <f t="shared" si="216"/>
        <v/>
      </c>
      <c r="PQ52" s="4" t="str">
        <f t="shared" si="217"/>
        <v/>
      </c>
      <c r="PR52" s="4" t="str">
        <f t="shared" si="218"/>
        <v/>
      </c>
      <c r="PS52" s="4" t="str">
        <f t="shared" si="219"/>
        <v/>
      </c>
    </row>
    <row r="53">
      <c r="HI53" s="4" t="str">
        <f t="shared" si="2"/>
        <v/>
      </c>
      <c r="HJ53" s="4" t="str">
        <f t="shared" si="3"/>
        <v/>
      </c>
      <c r="HK53" s="4" t="str">
        <f t="shared" si="4"/>
        <v/>
      </c>
      <c r="HL53" s="4" t="str">
        <f t="shared" si="5"/>
        <v/>
      </c>
      <c r="HM53" s="4" t="str">
        <f t="shared" si="6"/>
        <v/>
      </c>
      <c r="HN53" s="4" t="str">
        <f t="shared" si="7"/>
        <v/>
      </c>
      <c r="HO53" s="4" t="str">
        <f t="shared" si="8"/>
        <v/>
      </c>
      <c r="HP53" s="4" t="str">
        <f t="shared" si="9"/>
        <v/>
      </c>
      <c r="HQ53" s="4" t="str">
        <f t="shared" si="10"/>
        <v/>
      </c>
      <c r="HR53" s="4" t="str">
        <f t="shared" si="11"/>
        <v/>
      </c>
      <c r="HS53" s="4" t="str">
        <f t="shared" si="12"/>
        <v/>
      </c>
      <c r="HT53" s="4" t="str">
        <f t="shared" si="13"/>
        <v/>
      </c>
      <c r="HU53" s="4" t="str">
        <f t="shared" si="14"/>
        <v/>
      </c>
      <c r="HV53" s="4" t="str">
        <f t="shared" si="15"/>
        <v/>
      </c>
      <c r="HW53" s="4" t="str">
        <f t="shared" si="16"/>
        <v/>
      </c>
      <c r="HX53" s="4" t="str">
        <f t="shared" si="17"/>
        <v/>
      </c>
      <c r="HY53" s="4" t="str">
        <f t="shared" si="18"/>
        <v/>
      </c>
      <c r="HZ53" s="4" t="str">
        <f t="shared" si="19"/>
        <v/>
      </c>
      <c r="IA53" s="4" t="str">
        <f t="shared" si="20"/>
        <v/>
      </c>
      <c r="IB53" s="4" t="str">
        <f t="shared" si="21"/>
        <v/>
      </c>
      <c r="IC53" s="4" t="str">
        <f t="shared" si="22"/>
        <v/>
      </c>
      <c r="ID53" s="4" t="str">
        <f t="shared" si="23"/>
        <v/>
      </c>
      <c r="IE53" s="4" t="str">
        <f t="shared" si="24"/>
        <v/>
      </c>
      <c r="IF53" s="4" t="str">
        <f t="shared" si="25"/>
        <v/>
      </c>
      <c r="IG53" s="4" t="str">
        <f t="shared" si="26"/>
        <v/>
      </c>
      <c r="IH53" s="4" t="str">
        <f t="shared" si="27"/>
        <v/>
      </c>
      <c r="II53" s="4" t="str">
        <f t="shared" si="28"/>
        <v/>
      </c>
      <c r="IJ53" s="4" t="str">
        <f t="shared" si="29"/>
        <v/>
      </c>
      <c r="IK53" s="4" t="str">
        <f t="shared" si="30"/>
        <v/>
      </c>
      <c r="IL53" s="4" t="str">
        <f t="shared" si="31"/>
        <v/>
      </c>
      <c r="IM53" s="4" t="str">
        <f t="shared" si="32"/>
        <v/>
      </c>
      <c r="IN53" s="4" t="str">
        <f t="shared" si="33"/>
        <v/>
      </c>
      <c r="IO53" s="4" t="str">
        <f t="shared" si="34"/>
        <v/>
      </c>
      <c r="IP53" s="4" t="str">
        <f t="shared" si="35"/>
        <v/>
      </c>
      <c r="IQ53" s="4" t="str">
        <f t="shared" si="36"/>
        <v/>
      </c>
      <c r="IR53" s="4" t="str">
        <f t="shared" si="37"/>
        <v/>
      </c>
      <c r="IS53" s="4" t="str">
        <f t="shared" si="38"/>
        <v/>
      </c>
      <c r="IT53" s="4" t="str">
        <f t="shared" si="39"/>
        <v/>
      </c>
      <c r="IU53" s="4" t="str">
        <f t="shared" si="40"/>
        <v/>
      </c>
      <c r="IV53" s="4" t="str">
        <f t="shared" si="41"/>
        <v/>
      </c>
      <c r="IW53" s="4" t="str">
        <f t="shared" si="42"/>
        <v/>
      </c>
      <c r="IX53" s="4" t="str">
        <f t="shared" si="43"/>
        <v/>
      </c>
      <c r="IY53" s="4" t="str">
        <f t="shared" si="44"/>
        <v/>
      </c>
      <c r="IZ53" s="4" t="str">
        <f t="shared" si="45"/>
        <v/>
      </c>
      <c r="JA53" s="4" t="str">
        <f t="shared" ref="JA53:JB53" si="269">if(ISERROR(SEARCH("Higher Education",BB53)),"","810")</f>
        <v/>
      </c>
      <c r="JB53" s="4" t="str">
        <f t="shared" si="269"/>
        <v/>
      </c>
      <c r="JC53" s="4" t="str">
        <f t="shared" si="47"/>
        <v/>
      </c>
      <c r="JD53" s="4" t="str">
        <f t="shared" si="48"/>
        <v/>
      </c>
      <c r="JE53" s="4" t="str">
        <f t="shared" si="49"/>
        <v/>
      </c>
      <c r="JF53" s="4" t="str">
        <f t="shared" si="50"/>
        <v/>
      </c>
      <c r="JG53" s="4" t="str">
        <f t="shared" si="51"/>
        <v/>
      </c>
      <c r="JH53" s="4" t="str">
        <f t="shared" si="52"/>
        <v/>
      </c>
      <c r="JI53" s="4" t="str">
        <f t="shared" si="53"/>
        <v/>
      </c>
      <c r="JJ53" s="4" t="str">
        <f t="shared" si="54"/>
        <v/>
      </c>
      <c r="JK53" s="4" t="str">
        <f t="shared" si="55"/>
        <v/>
      </c>
      <c r="JL53" s="4" t="str">
        <f t="shared" si="56"/>
        <v/>
      </c>
      <c r="JM53" s="4" t="str">
        <f t="shared" si="57"/>
        <v/>
      </c>
      <c r="JN53" s="4" t="str">
        <f t="shared" si="58"/>
        <v/>
      </c>
      <c r="JO53" s="4" t="str">
        <f t="shared" si="59"/>
        <v/>
      </c>
      <c r="JP53" s="4" t="str">
        <f t="shared" si="60"/>
        <v/>
      </c>
      <c r="JQ53" s="4" t="str">
        <f t="shared" si="61"/>
        <v/>
      </c>
      <c r="JR53" s="4" t="str">
        <f t="shared" si="62"/>
        <v/>
      </c>
      <c r="JS53" s="4" t="str">
        <f t="shared" si="63"/>
        <v/>
      </c>
      <c r="JT53" s="4" t="str">
        <f t="shared" si="64"/>
        <v/>
      </c>
      <c r="JU53" s="4" t="str">
        <f t="shared" si="65"/>
        <v/>
      </c>
      <c r="JV53" s="4" t="str">
        <f t="shared" si="66"/>
        <v/>
      </c>
      <c r="JW53" s="4" t="str">
        <f t="shared" si="67"/>
        <v/>
      </c>
      <c r="JX53" s="4" t="str">
        <f t="shared" si="68"/>
        <v/>
      </c>
      <c r="JY53" s="4" t="str">
        <f t="shared" si="69"/>
        <v/>
      </c>
      <c r="JZ53" s="4" t="str">
        <f t="shared" si="70"/>
        <v/>
      </c>
      <c r="KA53" s="4" t="str">
        <f t="shared" si="71"/>
        <v/>
      </c>
      <c r="KB53" s="4" t="str">
        <f t="shared" si="72"/>
        <v/>
      </c>
      <c r="KC53" s="4" t="str">
        <f t="shared" si="73"/>
        <v/>
      </c>
      <c r="KD53" s="4" t="str">
        <f t="shared" si="74"/>
        <v/>
      </c>
      <c r="KE53" s="4" t="str">
        <f t="shared" si="75"/>
        <v/>
      </c>
      <c r="KF53" s="4" t="str">
        <f t="shared" si="76"/>
        <v/>
      </c>
      <c r="KG53" s="4" t="str">
        <f t="shared" si="77"/>
        <v/>
      </c>
      <c r="KH53" s="4" t="str">
        <f t="shared" si="78"/>
        <v/>
      </c>
      <c r="KI53" s="4" t="str">
        <f t="shared" si="79"/>
        <v/>
      </c>
      <c r="KJ53" s="4" t="str">
        <f t="shared" si="80"/>
        <v/>
      </c>
      <c r="KK53" s="4" t="str">
        <f t="shared" si="81"/>
        <v/>
      </c>
      <c r="KL53" s="4" t="str">
        <f t="shared" si="82"/>
        <v/>
      </c>
      <c r="KM53" s="4" t="str">
        <f t="shared" si="83"/>
        <v/>
      </c>
      <c r="KN53" s="4" t="str">
        <f t="shared" si="84"/>
        <v/>
      </c>
      <c r="KO53" s="4" t="str">
        <f t="shared" si="85"/>
        <v/>
      </c>
      <c r="KP53" s="4" t="str">
        <f t="shared" si="86"/>
        <v/>
      </c>
      <c r="KQ53" s="4" t="str">
        <f t="shared" si="87"/>
        <v/>
      </c>
      <c r="KR53" s="4" t="str">
        <f t="shared" si="88"/>
        <v/>
      </c>
      <c r="KS53" s="4" t="str">
        <f t="shared" si="89"/>
        <v/>
      </c>
      <c r="KT53" s="4" t="str">
        <f t="shared" si="90"/>
        <v/>
      </c>
      <c r="KU53" s="4" t="str">
        <f t="shared" si="91"/>
        <v/>
      </c>
      <c r="KV53" s="4" t="str">
        <f t="shared" si="92"/>
        <v/>
      </c>
      <c r="KW53" s="4" t="str">
        <f t="shared" si="93"/>
        <v/>
      </c>
      <c r="KX53" s="4" t="str">
        <f t="shared" si="94"/>
        <v/>
      </c>
      <c r="KY53" s="4" t="str">
        <f t="shared" si="95"/>
        <v/>
      </c>
      <c r="KZ53" s="4" t="str">
        <f t="shared" si="96"/>
        <v/>
      </c>
      <c r="LA53" s="4" t="str">
        <f t="shared" si="97"/>
        <v/>
      </c>
      <c r="LB53" s="4" t="str">
        <f t="shared" si="98"/>
        <v/>
      </c>
      <c r="LC53" s="4" t="str">
        <f t="shared" si="99"/>
        <v/>
      </c>
      <c r="LD53" s="4" t="str">
        <f t="shared" si="100"/>
        <v/>
      </c>
      <c r="LE53" s="4" t="str">
        <f t="shared" si="101"/>
        <v/>
      </c>
      <c r="LF53" s="4" t="str">
        <f t="shared" si="102"/>
        <v/>
      </c>
      <c r="LG53" s="4" t="str">
        <f t="shared" si="103"/>
        <v/>
      </c>
      <c r="LH53" s="4" t="str">
        <f t="shared" si="104"/>
        <v/>
      </c>
      <c r="LI53" s="4" t="str">
        <f t="shared" si="105"/>
        <v/>
      </c>
      <c r="LJ53" s="4" t="str">
        <f t="shared" si="106"/>
        <v/>
      </c>
      <c r="LK53" s="4" t="str">
        <f t="shared" si="107"/>
        <v/>
      </c>
      <c r="LL53" s="4" t="str">
        <f t="shared" si="108"/>
        <v/>
      </c>
      <c r="LM53" s="4" t="str">
        <f t="shared" si="109"/>
        <v/>
      </c>
      <c r="LN53" s="4" t="str">
        <f t="shared" si="110"/>
        <v/>
      </c>
      <c r="LO53" s="4" t="str">
        <f t="shared" si="111"/>
        <v/>
      </c>
      <c r="LP53" s="4" t="str">
        <f t="shared" si="112"/>
        <v/>
      </c>
      <c r="LQ53" s="4" t="str">
        <f t="shared" si="113"/>
        <v/>
      </c>
      <c r="LR53" s="4" t="str">
        <f t="shared" si="114"/>
        <v/>
      </c>
      <c r="LS53" s="4" t="str">
        <f t="shared" si="115"/>
        <v/>
      </c>
      <c r="LT53" s="4" t="str">
        <f t="shared" si="116"/>
        <v/>
      </c>
      <c r="LU53" s="4" t="str">
        <f t="shared" si="117"/>
        <v/>
      </c>
      <c r="LV53" s="4" t="str">
        <f t="shared" si="118"/>
        <v/>
      </c>
      <c r="LW53" s="4" t="str">
        <f t="shared" si="119"/>
        <v/>
      </c>
      <c r="LX53" s="4" t="str">
        <f t="shared" si="120"/>
        <v/>
      </c>
      <c r="LY53" s="4" t="str">
        <f t="shared" si="121"/>
        <v/>
      </c>
      <c r="LZ53" s="4" t="str">
        <f t="shared" si="122"/>
        <v/>
      </c>
      <c r="MA53" s="4" t="str">
        <f t="shared" si="123"/>
        <v/>
      </c>
      <c r="MB53" s="4" t="str">
        <f t="shared" si="124"/>
        <v/>
      </c>
      <c r="MC53" s="4" t="str">
        <f t="shared" si="125"/>
        <v/>
      </c>
      <c r="MD53" s="4" t="str">
        <f t="shared" si="126"/>
        <v/>
      </c>
      <c r="ME53" s="4" t="str">
        <f t="shared" si="127"/>
        <v/>
      </c>
      <c r="MF53" s="4" t="str">
        <f t="shared" si="128"/>
        <v/>
      </c>
      <c r="MG53" s="4" t="str">
        <f t="shared" si="129"/>
        <v/>
      </c>
      <c r="MH53" s="4" t="str">
        <f t="shared" si="130"/>
        <v/>
      </c>
      <c r="MI53" s="4" t="str">
        <f t="shared" si="131"/>
        <v/>
      </c>
      <c r="MJ53" s="4" t="str">
        <f t="shared" si="132"/>
        <v/>
      </c>
      <c r="MK53" s="4" t="str">
        <f t="shared" si="133"/>
        <v/>
      </c>
      <c r="ML53" s="4" t="str">
        <f t="shared" si="134"/>
        <v/>
      </c>
      <c r="MM53" s="4" t="str">
        <f t="shared" si="135"/>
        <v/>
      </c>
      <c r="MN53" s="4" t="str">
        <f t="shared" si="136"/>
        <v/>
      </c>
      <c r="MO53" s="4" t="str">
        <f t="shared" si="137"/>
        <v/>
      </c>
      <c r="MP53" s="4" t="str">
        <f t="shared" si="138"/>
        <v/>
      </c>
      <c r="MQ53" s="4" t="str">
        <f t="shared" si="139"/>
        <v/>
      </c>
      <c r="MR53" s="4" t="str">
        <f t="shared" si="140"/>
        <v/>
      </c>
      <c r="MS53" s="4" t="str">
        <f t="shared" si="141"/>
        <v/>
      </c>
      <c r="MT53" s="4" t="str">
        <f t="shared" si="142"/>
        <v/>
      </c>
      <c r="MU53" s="4" t="str">
        <f t="shared" si="143"/>
        <v/>
      </c>
      <c r="MV53" s="4" t="str">
        <f t="shared" si="144"/>
        <v/>
      </c>
      <c r="MW53" s="4" t="str">
        <f t="shared" si="145"/>
        <v/>
      </c>
      <c r="MX53" s="4" t="str">
        <f t="shared" si="146"/>
        <v/>
      </c>
      <c r="MY53" s="4" t="str">
        <f t="shared" si="147"/>
        <v/>
      </c>
      <c r="MZ53" s="4" t="str">
        <f t="shared" si="148"/>
        <v/>
      </c>
      <c r="NA53" s="4" t="str">
        <f t="shared" si="149"/>
        <v/>
      </c>
      <c r="NB53" s="4" t="str">
        <f t="shared" si="150"/>
        <v/>
      </c>
      <c r="NC53" s="4" t="str">
        <f t="shared" si="151"/>
        <v/>
      </c>
      <c r="ND53" s="4" t="str">
        <f t="shared" si="152"/>
        <v/>
      </c>
      <c r="NE53" s="4" t="str">
        <f t="shared" si="153"/>
        <v/>
      </c>
      <c r="NF53" s="4" t="str">
        <f t="shared" si="154"/>
        <v/>
      </c>
      <c r="NG53" s="4" t="str">
        <f t="shared" si="155"/>
        <v/>
      </c>
      <c r="NH53" s="4" t="str">
        <f t="shared" si="156"/>
        <v/>
      </c>
      <c r="NI53" s="4" t="str">
        <f t="shared" si="157"/>
        <v/>
      </c>
      <c r="NJ53" s="4" t="str">
        <f t="shared" si="158"/>
        <v/>
      </c>
      <c r="NK53" s="4" t="str">
        <f t="shared" si="159"/>
        <v/>
      </c>
      <c r="NL53" s="4" t="str">
        <f t="shared" si="160"/>
        <v/>
      </c>
      <c r="NM53" s="4" t="str">
        <f t="shared" si="161"/>
        <v/>
      </c>
      <c r="NN53" s="4" t="str">
        <f t="shared" si="162"/>
        <v/>
      </c>
      <c r="NO53" s="4" t="str">
        <f t="shared" si="163"/>
        <v/>
      </c>
      <c r="NP53" s="4" t="str">
        <f t="shared" si="164"/>
        <v/>
      </c>
      <c r="NQ53" s="4" t="str">
        <f t="shared" si="165"/>
        <v/>
      </c>
      <c r="NR53" s="4" t="str">
        <f t="shared" si="166"/>
        <v/>
      </c>
      <c r="NS53" s="4" t="str">
        <f t="shared" si="167"/>
        <v/>
      </c>
      <c r="NT53" s="4" t="str">
        <f t="shared" si="168"/>
        <v/>
      </c>
      <c r="NU53" s="4" t="str">
        <f t="shared" si="169"/>
        <v/>
      </c>
      <c r="NV53" s="4" t="str">
        <f t="shared" si="170"/>
        <v/>
      </c>
      <c r="NW53" s="4" t="str">
        <f t="shared" si="171"/>
        <v/>
      </c>
      <c r="NX53" s="4" t="str">
        <f t="shared" si="172"/>
        <v/>
      </c>
      <c r="NY53" s="4" t="str">
        <f t="shared" si="173"/>
        <v/>
      </c>
      <c r="NZ53" s="4" t="str">
        <f t="shared" si="174"/>
        <v/>
      </c>
      <c r="OA53" s="4" t="str">
        <f t="shared" si="175"/>
        <v/>
      </c>
      <c r="OB53" s="4" t="str">
        <f t="shared" si="176"/>
        <v/>
      </c>
      <c r="OC53" s="4" t="str">
        <f t="shared" si="177"/>
        <v/>
      </c>
      <c r="OD53" s="4" t="str">
        <f t="shared" si="178"/>
        <v/>
      </c>
      <c r="OE53" s="4" t="str">
        <f t="shared" si="179"/>
        <v/>
      </c>
      <c r="OF53" s="4" t="str">
        <f t="shared" si="180"/>
        <v/>
      </c>
      <c r="OG53" s="4" t="str">
        <f t="shared" si="181"/>
        <v/>
      </c>
      <c r="OH53" s="4" t="str">
        <f t="shared" si="182"/>
        <v/>
      </c>
      <c r="OI53" s="4" t="str">
        <f t="shared" si="183"/>
        <v/>
      </c>
      <c r="OJ53" s="4" t="str">
        <f t="shared" si="184"/>
        <v/>
      </c>
      <c r="OK53" s="4" t="str">
        <f t="shared" si="185"/>
        <v/>
      </c>
      <c r="OL53" s="4" t="str">
        <f t="shared" si="186"/>
        <v/>
      </c>
      <c r="OM53" s="4" t="str">
        <f t="shared" si="187"/>
        <v/>
      </c>
      <c r="ON53" s="4" t="str">
        <f t="shared" si="188"/>
        <v/>
      </c>
      <c r="OO53" s="4" t="str">
        <f t="shared" si="189"/>
        <v/>
      </c>
      <c r="OP53" s="4" t="str">
        <f t="shared" si="190"/>
        <v/>
      </c>
      <c r="OQ53" s="4" t="str">
        <f t="shared" si="191"/>
        <v/>
      </c>
      <c r="OR53" s="4" t="str">
        <f t="shared" si="192"/>
        <v/>
      </c>
      <c r="OS53" s="4" t="str">
        <f t="shared" si="193"/>
        <v/>
      </c>
      <c r="OT53" s="4" t="str">
        <f t="shared" si="194"/>
        <v/>
      </c>
      <c r="OU53" s="4" t="str">
        <f t="shared" si="195"/>
        <v/>
      </c>
      <c r="OV53" s="4" t="str">
        <f t="shared" si="196"/>
        <v/>
      </c>
      <c r="OW53" s="4" t="str">
        <f t="shared" si="197"/>
        <v/>
      </c>
      <c r="OX53" s="4" t="str">
        <f t="shared" si="198"/>
        <v/>
      </c>
      <c r="OY53" s="4" t="str">
        <f t="shared" si="199"/>
        <v/>
      </c>
      <c r="OZ53" s="4" t="str">
        <f t="shared" si="200"/>
        <v/>
      </c>
      <c r="PA53" s="4" t="str">
        <f t="shared" si="201"/>
        <v/>
      </c>
      <c r="PB53" s="4" t="str">
        <f t="shared" si="202"/>
        <v/>
      </c>
      <c r="PC53" s="4" t="str">
        <f t="shared" si="203"/>
        <v/>
      </c>
      <c r="PD53" s="4" t="str">
        <f t="shared" si="204"/>
        <v/>
      </c>
      <c r="PE53" s="4" t="str">
        <f t="shared" si="205"/>
        <v/>
      </c>
      <c r="PF53" s="4" t="str">
        <f t="shared" si="206"/>
        <v/>
      </c>
      <c r="PG53" s="4" t="str">
        <f t="shared" si="207"/>
        <v/>
      </c>
      <c r="PH53" s="4" t="str">
        <f t="shared" si="208"/>
        <v/>
      </c>
      <c r="PI53" s="4" t="str">
        <f t="shared" si="209"/>
        <v/>
      </c>
      <c r="PJ53" s="4" t="str">
        <f t="shared" si="210"/>
        <v/>
      </c>
      <c r="PK53" s="4" t="str">
        <f t="shared" si="211"/>
        <v/>
      </c>
      <c r="PL53" s="4" t="str">
        <f t="shared" si="212"/>
        <v/>
      </c>
      <c r="PM53" s="4" t="str">
        <f t="shared" si="213"/>
        <v/>
      </c>
      <c r="PN53" s="4" t="str">
        <f t="shared" si="214"/>
        <v/>
      </c>
      <c r="PO53" s="4" t="str">
        <f t="shared" si="215"/>
        <v/>
      </c>
      <c r="PP53" s="4" t="str">
        <f t="shared" si="216"/>
        <v/>
      </c>
      <c r="PQ53" s="4" t="str">
        <f t="shared" si="217"/>
        <v/>
      </c>
      <c r="PR53" s="4" t="str">
        <f t="shared" si="218"/>
        <v/>
      </c>
      <c r="PS53" s="4" t="str">
        <f t="shared" si="219"/>
        <v/>
      </c>
    </row>
    <row r="54">
      <c r="HI54" s="4" t="str">
        <f t="shared" si="2"/>
        <v/>
      </c>
      <c r="HJ54" s="4" t="str">
        <f t="shared" si="3"/>
        <v/>
      </c>
      <c r="HK54" s="4" t="str">
        <f t="shared" si="4"/>
        <v/>
      </c>
      <c r="HL54" s="4" t="str">
        <f t="shared" si="5"/>
        <v/>
      </c>
      <c r="HM54" s="4" t="str">
        <f t="shared" si="6"/>
        <v/>
      </c>
      <c r="HN54" s="4" t="str">
        <f t="shared" si="7"/>
        <v/>
      </c>
      <c r="HO54" s="4" t="str">
        <f t="shared" si="8"/>
        <v/>
      </c>
      <c r="HP54" s="4" t="str">
        <f t="shared" si="9"/>
        <v/>
      </c>
      <c r="HQ54" s="4" t="str">
        <f t="shared" si="10"/>
        <v/>
      </c>
      <c r="HR54" s="4" t="str">
        <f t="shared" si="11"/>
        <v/>
      </c>
      <c r="HS54" s="4" t="str">
        <f t="shared" si="12"/>
        <v/>
      </c>
      <c r="HT54" s="4" t="str">
        <f t="shared" si="13"/>
        <v/>
      </c>
      <c r="HU54" s="4" t="str">
        <f t="shared" si="14"/>
        <v/>
      </c>
      <c r="HV54" s="4" t="str">
        <f t="shared" si="15"/>
        <v/>
      </c>
      <c r="HW54" s="4" t="str">
        <f t="shared" si="16"/>
        <v/>
      </c>
      <c r="HX54" s="4" t="str">
        <f t="shared" si="17"/>
        <v/>
      </c>
      <c r="HY54" s="4" t="str">
        <f t="shared" si="18"/>
        <v/>
      </c>
      <c r="HZ54" s="4" t="str">
        <f t="shared" si="19"/>
        <v/>
      </c>
      <c r="IA54" s="4" t="str">
        <f t="shared" si="20"/>
        <v/>
      </c>
      <c r="IB54" s="4" t="str">
        <f t="shared" si="21"/>
        <v/>
      </c>
      <c r="IC54" s="4" t="str">
        <f t="shared" si="22"/>
        <v/>
      </c>
      <c r="ID54" s="4" t="str">
        <f t="shared" si="23"/>
        <v/>
      </c>
      <c r="IE54" s="4" t="str">
        <f t="shared" si="24"/>
        <v/>
      </c>
      <c r="IF54" s="4" t="str">
        <f t="shared" si="25"/>
        <v/>
      </c>
      <c r="IG54" s="4" t="str">
        <f t="shared" si="26"/>
        <v/>
      </c>
      <c r="IH54" s="4" t="str">
        <f t="shared" si="27"/>
        <v/>
      </c>
      <c r="II54" s="4" t="str">
        <f t="shared" si="28"/>
        <v/>
      </c>
      <c r="IJ54" s="4" t="str">
        <f t="shared" si="29"/>
        <v/>
      </c>
      <c r="IK54" s="4" t="str">
        <f t="shared" si="30"/>
        <v/>
      </c>
      <c r="IL54" s="4" t="str">
        <f t="shared" si="31"/>
        <v/>
      </c>
      <c r="IM54" s="4" t="str">
        <f t="shared" si="32"/>
        <v/>
      </c>
      <c r="IN54" s="4" t="str">
        <f t="shared" si="33"/>
        <v/>
      </c>
      <c r="IO54" s="4" t="str">
        <f t="shared" si="34"/>
        <v/>
      </c>
      <c r="IP54" s="4" t="str">
        <f t="shared" si="35"/>
        <v/>
      </c>
      <c r="IQ54" s="4" t="str">
        <f t="shared" si="36"/>
        <v/>
      </c>
      <c r="IR54" s="4" t="str">
        <f t="shared" si="37"/>
        <v/>
      </c>
      <c r="IS54" s="4" t="str">
        <f t="shared" si="38"/>
        <v/>
      </c>
      <c r="IT54" s="4" t="str">
        <f t="shared" si="39"/>
        <v/>
      </c>
      <c r="IU54" s="4" t="str">
        <f t="shared" si="40"/>
        <v/>
      </c>
      <c r="IV54" s="4" t="str">
        <f t="shared" si="41"/>
        <v/>
      </c>
      <c r="IW54" s="4" t="str">
        <f t="shared" si="42"/>
        <v/>
      </c>
      <c r="IX54" s="4" t="str">
        <f t="shared" si="43"/>
        <v/>
      </c>
      <c r="IY54" s="4" t="str">
        <f t="shared" si="44"/>
        <v/>
      </c>
      <c r="IZ54" s="4" t="str">
        <f t="shared" si="45"/>
        <v/>
      </c>
      <c r="JA54" s="4" t="str">
        <f t="shared" ref="JA54:JB54" si="270">if(ISERROR(SEARCH("Higher Education",BB54)),"","810")</f>
        <v/>
      </c>
      <c r="JB54" s="4" t="str">
        <f t="shared" si="270"/>
        <v/>
      </c>
      <c r="JC54" s="4" t="str">
        <f t="shared" si="47"/>
        <v/>
      </c>
      <c r="JD54" s="4" t="str">
        <f t="shared" si="48"/>
        <v/>
      </c>
      <c r="JE54" s="4" t="str">
        <f t="shared" si="49"/>
        <v/>
      </c>
      <c r="JF54" s="4" t="str">
        <f t="shared" si="50"/>
        <v/>
      </c>
      <c r="JG54" s="4" t="str">
        <f t="shared" si="51"/>
        <v/>
      </c>
      <c r="JH54" s="4" t="str">
        <f t="shared" si="52"/>
        <v/>
      </c>
      <c r="JI54" s="4" t="str">
        <f t="shared" si="53"/>
        <v/>
      </c>
      <c r="JJ54" s="4" t="str">
        <f t="shared" si="54"/>
        <v/>
      </c>
      <c r="JK54" s="4" t="str">
        <f t="shared" si="55"/>
        <v/>
      </c>
      <c r="JL54" s="4" t="str">
        <f t="shared" si="56"/>
        <v/>
      </c>
      <c r="JM54" s="4" t="str">
        <f t="shared" si="57"/>
        <v/>
      </c>
      <c r="JN54" s="4" t="str">
        <f t="shared" si="58"/>
        <v/>
      </c>
      <c r="JO54" s="4" t="str">
        <f t="shared" si="59"/>
        <v/>
      </c>
      <c r="JP54" s="4" t="str">
        <f t="shared" si="60"/>
        <v/>
      </c>
      <c r="JQ54" s="4" t="str">
        <f t="shared" si="61"/>
        <v/>
      </c>
      <c r="JR54" s="4" t="str">
        <f t="shared" si="62"/>
        <v/>
      </c>
      <c r="JS54" s="4" t="str">
        <f t="shared" si="63"/>
        <v/>
      </c>
      <c r="JT54" s="4" t="str">
        <f t="shared" si="64"/>
        <v/>
      </c>
      <c r="JU54" s="4" t="str">
        <f t="shared" si="65"/>
        <v/>
      </c>
      <c r="JV54" s="4" t="str">
        <f t="shared" si="66"/>
        <v/>
      </c>
      <c r="JW54" s="4" t="str">
        <f t="shared" si="67"/>
        <v/>
      </c>
      <c r="JX54" s="4" t="str">
        <f t="shared" si="68"/>
        <v/>
      </c>
      <c r="JY54" s="4" t="str">
        <f t="shared" si="69"/>
        <v/>
      </c>
      <c r="JZ54" s="4" t="str">
        <f t="shared" si="70"/>
        <v/>
      </c>
      <c r="KA54" s="4" t="str">
        <f t="shared" si="71"/>
        <v/>
      </c>
      <c r="KB54" s="4" t="str">
        <f t="shared" si="72"/>
        <v/>
      </c>
      <c r="KC54" s="4" t="str">
        <f t="shared" si="73"/>
        <v/>
      </c>
      <c r="KD54" s="4" t="str">
        <f t="shared" si="74"/>
        <v/>
      </c>
      <c r="KE54" s="4" t="str">
        <f t="shared" si="75"/>
        <v/>
      </c>
      <c r="KF54" s="4" t="str">
        <f t="shared" si="76"/>
        <v/>
      </c>
      <c r="KG54" s="4" t="str">
        <f t="shared" si="77"/>
        <v/>
      </c>
      <c r="KH54" s="4" t="str">
        <f t="shared" si="78"/>
        <v/>
      </c>
      <c r="KI54" s="4" t="str">
        <f t="shared" si="79"/>
        <v/>
      </c>
      <c r="KJ54" s="4" t="str">
        <f t="shared" si="80"/>
        <v/>
      </c>
      <c r="KK54" s="4" t="str">
        <f t="shared" si="81"/>
        <v/>
      </c>
      <c r="KL54" s="4" t="str">
        <f t="shared" si="82"/>
        <v/>
      </c>
      <c r="KM54" s="4" t="str">
        <f t="shared" si="83"/>
        <v/>
      </c>
      <c r="KN54" s="4" t="str">
        <f t="shared" si="84"/>
        <v/>
      </c>
      <c r="KO54" s="4" t="str">
        <f t="shared" si="85"/>
        <v/>
      </c>
      <c r="KP54" s="4" t="str">
        <f t="shared" si="86"/>
        <v/>
      </c>
      <c r="KQ54" s="4" t="str">
        <f t="shared" si="87"/>
        <v/>
      </c>
      <c r="KR54" s="4" t="str">
        <f t="shared" si="88"/>
        <v/>
      </c>
      <c r="KS54" s="4" t="str">
        <f t="shared" si="89"/>
        <v/>
      </c>
      <c r="KT54" s="4" t="str">
        <f t="shared" si="90"/>
        <v/>
      </c>
      <c r="KU54" s="4" t="str">
        <f t="shared" si="91"/>
        <v/>
      </c>
      <c r="KV54" s="4" t="str">
        <f t="shared" si="92"/>
        <v/>
      </c>
      <c r="KW54" s="4" t="str">
        <f t="shared" si="93"/>
        <v/>
      </c>
      <c r="KX54" s="4" t="str">
        <f t="shared" si="94"/>
        <v/>
      </c>
      <c r="KY54" s="4" t="str">
        <f t="shared" si="95"/>
        <v/>
      </c>
      <c r="KZ54" s="4" t="str">
        <f t="shared" si="96"/>
        <v/>
      </c>
      <c r="LA54" s="4" t="str">
        <f t="shared" si="97"/>
        <v/>
      </c>
      <c r="LB54" s="4" t="str">
        <f t="shared" si="98"/>
        <v/>
      </c>
      <c r="LC54" s="4" t="str">
        <f t="shared" si="99"/>
        <v/>
      </c>
      <c r="LD54" s="4" t="str">
        <f t="shared" si="100"/>
        <v/>
      </c>
      <c r="LE54" s="4" t="str">
        <f t="shared" si="101"/>
        <v/>
      </c>
      <c r="LF54" s="4" t="str">
        <f t="shared" si="102"/>
        <v/>
      </c>
      <c r="LG54" s="4" t="str">
        <f t="shared" si="103"/>
        <v/>
      </c>
      <c r="LH54" s="4" t="str">
        <f t="shared" si="104"/>
        <v/>
      </c>
      <c r="LI54" s="4" t="str">
        <f t="shared" si="105"/>
        <v/>
      </c>
      <c r="LJ54" s="4" t="str">
        <f t="shared" si="106"/>
        <v/>
      </c>
      <c r="LK54" s="4" t="str">
        <f t="shared" si="107"/>
        <v/>
      </c>
      <c r="LL54" s="4" t="str">
        <f t="shared" si="108"/>
        <v/>
      </c>
      <c r="LM54" s="4" t="str">
        <f t="shared" si="109"/>
        <v/>
      </c>
      <c r="LN54" s="4" t="str">
        <f t="shared" si="110"/>
        <v/>
      </c>
      <c r="LO54" s="4" t="str">
        <f t="shared" si="111"/>
        <v/>
      </c>
      <c r="LP54" s="4" t="str">
        <f t="shared" si="112"/>
        <v/>
      </c>
      <c r="LQ54" s="4" t="str">
        <f t="shared" si="113"/>
        <v/>
      </c>
      <c r="LR54" s="4" t="str">
        <f t="shared" si="114"/>
        <v/>
      </c>
      <c r="LS54" s="4" t="str">
        <f t="shared" si="115"/>
        <v/>
      </c>
      <c r="LT54" s="4" t="str">
        <f t="shared" si="116"/>
        <v/>
      </c>
      <c r="LU54" s="4" t="str">
        <f t="shared" si="117"/>
        <v/>
      </c>
      <c r="LV54" s="4" t="str">
        <f t="shared" si="118"/>
        <v/>
      </c>
      <c r="LW54" s="4" t="str">
        <f t="shared" si="119"/>
        <v/>
      </c>
      <c r="LX54" s="4" t="str">
        <f t="shared" si="120"/>
        <v/>
      </c>
      <c r="LY54" s="4" t="str">
        <f t="shared" si="121"/>
        <v/>
      </c>
      <c r="LZ54" s="4" t="str">
        <f t="shared" si="122"/>
        <v/>
      </c>
      <c r="MA54" s="4" t="str">
        <f t="shared" si="123"/>
        <v/>
      </c>
      <c r="MB54" s="4" t="str">
        <f t="shared" si="124"/>
        <v/>
      </c>
      <c r="MC54" s="4" t="str">
        <f t="shared" si="125"/>
        <v/>
      </c>
      <c r="MD54" s="4" t="str">
        <f t="shared" si="126"/>
        <v/>
      </c>
      <c r="ME54" s="4" t="str">
        <f t="shared" si="127"/>
        <v/>
      </c>
      <c r="MF54" s="4" t="str">
        <f t="shared" si="128"/>
        <v/>
      </c>
      <c r="MG54" s="4" t="str">
        <f t="shared" si="129"/>
        <v/>
      </c>
      <c r="MH54" s="4" t="str">
        <f t="shared" si="130"/>
        <v/>
      </c>
      <c r="MI54" s="4" t="str">
        <f t="shared" si="131"/>
        <v/>
      </c>
      <c r="MJ54" s="4" t="str">
        <f t="shared" si="132"/>
        <v/>
      </c>
      <c r="MK54" s="4" t="str">
        <f t="shared" si="133"/>
        <v/>
      </c>
      <c r="ML54" s="4" t="str">
        <f t="shared" si="134"/>
        <v/>
      </c>
      <c r="MM54" s="4" t="str">
        <f t="shared" si="135"/>
        <v/>
      </c>
      <c r="MN54" s="4" t="str">
        <f t="shared" si="136"/>
        <v/>
      </c>
      <c r="MO54" s="4" t="str">
        <f t="shared" si="137"/>
        <v/>
      </c>
      <c r="MP54" s="4" t="str">
        <f t="shared" si="138"/>
        <v/>
      </c>
      <c r="MQ54" s="4" t="str">
        <f t="shared" si="139"/>
        <v/>
      </c>
      <c r="MR54" s="4" t="str">
        <f t="shared" si="140"/>
        <v/>
      </c>
      <c r="MS54" s="4" t="str">
        <f t="shared" si="141"/>
        <v/>
      </c>
      <c r="MT54" s="4" t="str">
        <f t="shared" si="142"/>
        <v/>
      </c>
      <c r="MU54" s="4" t="str">
        <f t="shared" si="143"/>
        <v/>
      </c>
      <c r="MV54" s="4" t="str">
        <f t="shared" si="144"/>
        <v/>
      </c>
      <c r="MW54" s="4" t="str">
        <f t="shared" si="145"/>
        <v/>
      </c>
      <c r="MX54" s="4" t="str">
        <f t="shared" si="146"/>
        <v/>
      </c>
      <c r="MY54" s="4" t="str">
        <f t="shared" si="147"/>
        <v/>
      </c>
      <c r="MZ54" s="4" t="str">
        <f t="shared" si="148"/>
        <v/>
      </c>
      <c r="NA54" s="4" t="str">
        <f t="shared" si="149"/>
        <v/>
      </c>
      <c r="NB54" s="4" t="str">
        <f t="shared" si="150"/>
        <v/>
      </c>
      <c r="NC54" s="4" t="str">
        <f t="shared" si="151"/>
        <v/>
      </c>
      <c r="ND54" s="4" t="str">
        <f t="shared" si="152"/>
        <v/>
      </c>
      <c r="NE54" s="4" t="str">
        <f t="shared" si="153"/>
        <v/>
      </c>
      <c r="NF54" s="4" t="str">
        <f t="shared" si="154"/>
        <v/>
      </c>
      <c r="NG54" s="4" t="str">
        <f t="shared" si="155"/>
        <v/>
      </c>
      <c r="NH54" s="4" t="str">
        <f t="shared" si="156"/>
        <v/>
      </c>
      <c r="NI54" s="4" t="str">
        <f t="shared" si="157"/>
        <v/>
      </c>
      <c r="NJ54" s="4" t="str">
        <f t="shared" si="158"/>
        <v/>
      </c>
      <c r="NK54" s="4" t="str">
        <f t="shared" si="159"/>
        <v/>
      </c>
      <c r="NL54" s="4" t="str">
        <f t="shared" si="160"/>
        <v/>
      </c>
      <c r="NM54" s="4" t="str">
        <f t="shared" si="161"/>
        <v/>
      </c>
      <c r="NN54" s="4" t="str">
        <f t="shared" si="162"/>
        <v/>
      </c>
      <c r="NO54" s="4" t="str">
        <f t="shared" si="163"/>
        <v/>
      </c>
      <c r="NP54" s="4" t="str">
        <f t="shared" si="164"/>
        <v/>
      </c>
      <c r="NQ54" s="4" t="str">
        <f t="shared" si="165"/>
        <v/>
      </c>
      <c r="NR54" s="4" t="str">
        <f t="shared" si="166"/>
        <v/>
      </c>
      <c r="NS54" s="4" t="str">
        <f t="shared" si="167"/>
        <v/>
      </c>
      <c r="NT54" s="4" t="str">
        <f t="shared" si="168"/>
        <v/>
      </c>
      <c r="NU54" s="4" t="str">
        <f t="shared" si="169"/>
        <v/>
      </c>
      <c r="NV54" s="4" t="str">
        <f t="shared" si="170"/>
        <v/>
      </c>
      <c r="NW54" s="4" t="str">
        <f t="shared" si="171"/>
        <v/>
      </c>
      <c r="NX54" s="4" t="str">
        <f t="shared" si="172"/>
        <v/>
      </c>
      <c r="NY54" s="4" t="str">
        <f t="shared" si="173"/>
        <v/>
      </c>
      <c r="NZ54" s="4" t="str">
        <f t="shared" si="174"/>
        <v/>
      </c>
      <c r="OA54" s="4" t="str">
        <f t="shared" si="175"/>
        <v/>
      </c>
      <c r="OB54" s="4" t="str">
        <f t="shared" si="176"/>
        <v/>
      </c>
      <c r="OC54" s="4" t="str">
        <f t="shared" si="177"/>
        <v/>
      </c>
      <c r="OD54" s="4" t="str">
        <f t="shared" si="178"/>
        <v/>
      </c>
      <c r="OE54" s="4" t="str">
        <f t="shared" si="179"/>
        <v/>
      </c>
      <c r="OF54" s="4" t="str">
        <f t="shared" si="180"/>
        <v/>
      </c>
      <c r="OG54" s="4" t="str">
        <f t="shared" si="181"/>
        <v/>
      </c>
      <c r="OH54" s="4" t="str">
        <f t="shared" si="182"/>
        <v/>
      </c>
      <c r="OI54" s="4" t="str">
        <f t="shared" si="183"/>
        <v/>
      </c>
      <c r="OJ54" s="4" t="str">
        <f t="shared" si="184"/>
        <v/>
      </c>
      <c r="OK54" s="4" t="str">
        <f t="shared" si="185"/>
        <v/>
      </c>
      <c r="OL54" s="4" t="str">
        <f t="shared" si="186"/>
        <v/>
      </c>
      <c r="OM54" s="4" t="str">
        <f t="shared" si="187"/>
        <v/>
      </c>
      <c r="ON54" s="4" t="str">
        <f t="shared" si="188"/>
        <v/>
      </c>
      <c r="OO54" s="4" t="str">
        <f t="shared" si="189"/>
        <v/>
      </c>
      <c r="OP54" s="4" t="str">
        <f t="shared" si="190"/>
        <v/>
      </c>
      <c r="OQ54" s="4" t="str">
        <f t="shared" si="191"/>
        <v/>
      </c>
      <c r="OR54" s="4" t="str">
        <f t="shared" si="192"/>
        <v/>
      </c>
      <c r="OS54" s="4" t="str">
        <f t="shared" si="193"/>
        <v/>
      </c>
      <c r="OT54" s="4" t="str">
        <f t="shared" si="194"/>
        <v/>
      </c>
      <c r="OU54" s="4" t="str">
        <f t="shared" si="195"/>
        <v/>
      </c>
      <c r="OV54" s="4" t="str">
        <f t="shared" si="196"/>
        <v/>
      </c>
      <c r="OW54" s="4" t="str">
        <f t="shared" si="197"/>
        <v/>
      </c>
      <c r="OX54" s="4" t="str">
        <f t="shared" si="198"/>
        <v/>
      </c>
      <c r="OY54" s="4" t="str">
        <f t="shared" si="199"/>
        <v/>
      </c>
      <c r="OZ54" s="4" t="str">
        <f t="shared" si="200"/>
        <v/>
      </c>
      <c r="PA54" s="4" t="str">
        <f t="shared" si="201"/>
        <v/>
      </c>
      <c r="PB54" s="4" t="str">
        <f t="shared" si="202"/>
        <v/>
      </c>
      <c r="PC54" s="4" t="str">
        <f t="shared" si="203"/>
        <v/>
      </c>
      <c r="PD54" s="4" t="str">
        <f t="shared" si="204"/>
        <v/>
      </c>
      <c r="PE54" s="4" t="str">
        <f t="shared" si="205"/>
        <v/>
      </c>
      <c r="PF54" s="4" t="str">
        <f t="shared" si="206"/>
        <v/>
      </c>
      <c r="PG54" s="4" t="str">
        <f t="shared" si="207"/>
        <v/>
      </c>
      <c r="PH54" s="4" t="str">
        <f t="shared" si="208"/>
        <v/>
      </c>
      <c r="PI54" s="4" t="str">
        <f t="shared" si="209"/>
        <v/>
      </c>
      <c r="PJ54" s="4" t="str">
        <f t="shared" si="210"/>
        <v/>
      </c>
      <c r="PK54" s="4" t="str">
        <f t="shared" si="211"/>
        <v/>
      </c>
      <c r="PL54" s="4" t="str">
        <f t="shared" si="212"/>
        <v/>
      </c>
      <c r="PM54" s="4" t="str">
        <f t="shared" si="213"/>
        <v/>
      </c>
      <c r="PN54" s="4" t="str">
        <f t="shared" si="214"/>
        <v/>
      </c>
      <c r="PO54" s="4" t="str">
        <f t="shared" si="215"/>
        <v/>
      </c>
      <c r="PP54" s="4" t="str">
        <f t="shared" si="216"/>
        <v/>
      </c>
      <c r="PQ54" s="4" t="str">
        <f t="shared" si="217"/>
        <v/>
      </c>
      <c r="PR54" s="4" t="str">
        <f t="shared" si="218"/>
        <v/>
      </c>
      <c r="PS54" s="4" t="str">
        <f t="shared" si="219"/>
        <v/>
      </c>
    </row>
    <row r="55">
      <c r="HI55" s="4" t="str">
        <f t="shared" si="2"/>
        <v/>
      </c>
      <c r="HJ55" s="4" t="str">
        <f t="shared" si="3"/>
        <v/>
      </c>
      <c r="HK55" s="4" t="str">
        <f t="shared" si="4"/>
        <v/>
      </c>
      <c r="HL55" s="4" t="str">
        <f t="shared" si="5"/>
        <v/>
      </c>
      <c r="HM55" s="4" t="str">
        <f t="shared" si="6"/>
        <v/>
      </c>
      <c r="HN55" s="4" t="str">
        <f t="shared" si="7"/>
        <v/>
      </c>
      <c r="HO55" s="4" t="str">
        <f t="shared" si="8"/>
        <v/>
      </c>
      <c r="HP55" s="4" t="str">
        <f t="shared" si="9"/>
        <v/>
      </c>
      <c r="HQ55" s="4" t="str">
        <f t="shared" si="10"/>
        <v/>
      </c>
      <c r="HR55" s="4" t="str">
        <f t="shared" si="11"/>
        <v/>
      </c>
      <c r="HS55" s="4" t="str">
        <f t="shared" si="12"/>
        <v/>
      </c>
      <c r="HT55" s="4" t="str">
        <f t="shared" si="13"/>
        <v/>
      </c>
      <c r="HU55" s="4" t="str">
        <f t="shared" si="14"/>
        <v/>
      </c>
      <c r="HV55" s="4" t="str">
        <f t="shared" si="15"/>
        <v/>
      </c>
      <c r="HW55" s="4" t="str">
        <f t="shared" si="16"/>
        <v/>
      </c>
      <c r="HX55" s="4" t="str">
        <f t="shared" si="17"/>
        <v/>
      </c>
      <c r="HY55" s="4" t="str">
        <f t="shared" si="18"/>
        <v/>
      </c>
      <c r="HZ55" s="4" t="str">
        <f t="shared" si="19"/>
        <v/>
      </c>
      <c r="IA55" s="4" t="str">
        <f t="shared" si="20"/>
        <v/>
      </c>
      <c r="IB55" s="4" t="str">
        <f t="shared" si="21"/>
        <v/>
      </c>
      <c r="IC55" s="4" t="str">
        <f t="shared" si="22"/>
        <v/>
      </c>
      <c r="ID55" s="4" t="str">
        <f t="shared" si="23"/>
        <v/>
      </c>
      <c r="IE55" s="4" t="str">
        <f t="shared" si="24"/>
        <v/>
      </c>
      <c r="IF55" s="4" t="str">
        <f t="shared" si="25"/>
        <v/>
      </c>
      <c r="IG55" s="4" t="str">
        <f t="shared" si="26"/>
        <v/>
      </c>
      <c r="IH55" s="4" t="str">
        <f t="shared" si="27"/>
        <v/>
      </c>
      <c r="II55" s="4" t="str">
        <f t="shared" si="28"/>
        <v/>
      </c>
      <c r="IJ55" s="4" t="str">
        <f t="shared" si="29"/>
        <v/>
      </c>
      <c r="IK55" s="4" t="str">
        <f t="shared" si="30"/>
        <v/>
      </c>
      <c r="IL55" s="4" t="str">
        <f t="shared" si="31"/>
        <v/>
      </c>
      <c r="IM55" s="4" t="str">
        <f t="shared" si="32"/>
        <v/>
      </c>
      <c r="IN55" s="4" t="str">
        <f t="shared" si="33"/>
        <v/>
      </c>
      <c r="IO55" s="4" t="str">
        <f t="shared" si="34"/>
        <v/>
      </c>
      <c r="IP55" s="4" t="str">
        <f t="shared" si="35"/>
        <v/>
      </c>
      <c r="IQ55" s="4" t="str">
        <f t="shared" si="36"/>
        <v/>
      </c>
      <c r="IR55" s="4" t="str">
        <f t="shared" si="37"/>
        <v/>
      </c>
      <c r="IS55" s="4" t="str">
        <f t="shared" si="38"/>
        <v/>
      </c>
      <c r="IT55" s="4" t="str">
        <f t="shared" si="39"/>
        <v/>
      </c>
      <c r="IU55" s="4" t="str">
        <f t="shared" si="40"/>
        <v/>
      </c>
      <c r="IV55" s="4" t="str">
        <f t="shared" si="41"/>
        <v/>
      </c>
      <c r="IW55" s="4" t="str">
        <f t="shared" si="42"/>
        <v/>
      </c>
      <c r="IX55" s="4" t="str">
        <f t="shared" si="43"/>
        <v/>
      </c>
      <c r="IY55" s="4" t="str">
        <f t="shared" si="44"/>
        <v/>
      </c>
      <c r="IZ55" s="4" t="str">
        <f t="shared" si="45"/>
        <v/>
      </c>
      <c r="JA55" s="4" t="str">
        <f t="shared" ref="JA55:JB55" si="271">if(ISERROR(SEARCH("Higher Education",BB55)),"","810")</f>
        <v/>
      </c>
      <c r="JB55" s="4" t="str">
        <f t="shared" si="271"/>
        <v/>
      </c>
      <c r="JC55" s="4" t="str">
        <f t="shared" si="47"/>
        <v/>
      </c>
      <c r="JD55" s="4" t="str">
        <f t="shared" si="48"/>
        <v/>
      </c>
      <c r="JE55" s="4" t="str">
        <f t="shared" si="49"/>
        <v/>
      </c>
      <c r="JF55" s="4" t="str">
        <f t="shared" si="50"/>
        <v/>
      </c>
      <c r="JG55" s="4" t="str">
        <f t="shared" si="51"/>
        <v/>
      </c>
      <c r="JH55" s="4" t="str">
        <f t="shared" si="52"/>
        <v/>
      </c>
      <c r="JI55" s="4" t="str">
        <f t="shared" si="53"/>
        <v/>
      </c>
      <c r="JJ55" s="4" t="str">
        <f t="shared" si="54"/>
        <v/>
      </c>
      <c r="JK55" s="4" t="str">
        <f t="shared" si="55"/>
        <v/>
      </c>
      <c r="JL55" s="4" t="str">
        <f t="shared" si="56"/>
        <v/>
      </c>
      <c r="JM55" s="4" t="str">
        <f t="shared" si="57"/>
        <v/>
      </c>
      <c r="JN55" s="4" t="str">
        <f t="shared" si="58"/>
        <v/>
      </c>
      <c r="JO55" s="4" t="str">
        <f t="shared" si="59"/>
        <v/>
      </c>
      <c r="JP55" s="4" t="str">
        <f t="shared" si="60"/>
        <v/>
      </c>
      <c r="JQ55" s="4" t="str">
        <f t="shared" si="61"/>
        <v/>
      </c>
      <c r="JR55" s="4" t="str">
        <f t="shared" si="62"/>
        <v/>
      </c>
      <c r="JS55" s="4" t="str">
        <f t="shared" si="63"/>
        <v/>
      </c>
      <c r="JT55" s="4" t="str">
        <f t="shared" si="64"/>
        <v/>
      </c>
      <c r="JU55" s="4" t="str">
        <f t="shared" si="65"/>
        <v/>
      </c>
      <c r="JV55" s="4" t="str">
        <f t="shared" si="66"/>
        <v/>
      </c>
      <c r="JW55" s="4" t="str">
        <f t="shared" si="67"/>
        <v/>
      </c>
      <c r="JX55" s="4" t="str">
        <f t="shared" si="68"/>
        <v/>
      </c>
      <c r="JY55" s="4" t="str">
        <f t="shared" si="69"/>
        <v/>
      </c>
      <c r="JZ55" s="4" t="str">
        <f t="shared" si="70"/>
        <v/>
      </c>
      <c r="KA55" s="4" t="str">
        <f t="shared" si="71"/>
        <v/>
      </c>
      <c r="KB55" s="4" t="str">
        <f t="shared" si="72"/>
        <v/>
      </c>
      <c r="KC55" s="4" t="str">
        <f t="shared" si="73"/>
        <v/>
      </c>
      <c r="KD55" s="4" t="str">
        <f t="shared" si="74"/>
        <v/>
      </c>
      <c r="KE55" s="4" t="str">
        <f t="shared" si="75"/>
        <v/>
      </c>
      <c r="KF55" s="4" t="str">
        <f t="shared" si="76"/>
        <v/>
      </c>
      <c r="KG55" s="4" t="str">
        <f t="shared" si="77"/>
        <v/>
      </c>
      <c r="KH55" s="4" t="str">
        <f t="shared" si="78"/>
        <v/>
      </c>
      <c r="KI55" s="4" t="str">
        <f t="shared" si="79"/>
        <v/>
      </c>
      <c r="KJ55" s="4" t="str">
        <f t="shared" si="80"/>
        <v/>
      </c>
      <c r="KK55" s="4" t="str">
        <f t="shared" si="81"/>
        <v/>
      </c>
      <c r="KL55" s="4" t="str">
        <f t="shared" si="82"/>
        <v/>
      </c>
      <c r="KM55" s="4" t="str">
        <f t="shared" si="83"/>
        <v/>
      </c>
      <c r="KN55" s="4" t="str">
        <f t="shared" si="84"/>
        <v/>
      </c>
      <c r="KO55" s="4" t="str">
        <f t="shared" si="85"/>
        <v/>
      </c>
      <c r="KP55" s="4" t="str">
        <f t="shared" si="86"/>
        <v/>
      </c>
      <c r="KQ55" s="4" t="str">
        <f t="shared" si="87"/>
        <v/>
      </c>
      <c r="KR55" s="4" t="str">
        <f t="shared" si="88"/>
        <v/>
      </c>
      <c r="KS55" s="4" t="str">
        <f t="shared" si="89"/>
        <v/>
      </c>
      <c r="KT55" s="4" t="str">
        <f t="shared" si="90"/>
        <v/>
      </c>
      <c r="KU55" s="4" t="str">
        <f t="shared" si="91"/>
        <v/>
      </c>
      <c r="KV55" s="4" t="str">
        <f t="shared" si="92"/>
        <v/>
      </c>
      <c r="KW55" s="4" t="str">
        <f t="shared" si="93"/>
        <v/>
      </c>
      <c r="KX55" s="4" t="str">
        <f t="shared" si="94"/>
        <v/>
      </c>
      <c r="KY55" s="4" t="str">
        <f t="shared" si="95"/>
        <v/>
      </c>
      <c r="KZ55" s="4" t="str">
        <f t="shared" si="96"/>
        <v/>
      </c>
      <c r="LA55" s="4" t="str">
        <f t="shared" si="97"/>
        <v/>
      </c>
      <c r="LB55" s="4" t="str">
        <f t="shared" si="98"/>
        <v/>
      </c>
      <c r="LC55" s="4" t="str">
        <f t="shared" si="99"/>
        <v/>
      </c>
      <c r="LD55" s="4" t="str">
        <f t="shared" si="100"/>
        <v/>
      </c>
      <c r="LE55" s="4" t="str">
        <f t="shared" si="101"/>
        <v/>
      </c>
      <c r="LF55" s="4" t="str">
        <f t="shared" si="102"/>
        <v/>
      </c>
      <c r="LG55" s="4" t="str">
        <f t="shared" si="103"/>
        <v/>
      </c>
      <c r="LH55" s="4" t="str">
        <f t="shared" si="104"/>
        <v/>
      </c>
      <c r="LI55" s="4" t="str">
        <f t="shared" si="105"/>
        <v/>
      </c>
      <c r="LJ55" s="4" t="str">
        <f t="shared" si="106"/>
        <v/>
      </c>
      <c r="LK55" s="4" t="str">
        <f t="shared" si="107"/>
        <v/>
      </c>
      <c r="LL55" s="4" t="str">
        <f t="shared" si="108"/>
        <v/>
      </c>
      <c r="LM55" s="4" t="str">
        <f t="shared" si="109"/>
        <v/>
      </c>
      <c r="LN55" s="4" t="str">
        <f t="shared" si="110"/>
        <v/>
      </c>
      <c r="LO55" s="4" t="str">
        <f t="shared" si="111"/>
        <v/>
      </c>
      <c r="LP55" s="4" t="str">
        <f t="shared" si="112"/>
        <v/>
      </c>
      <c r="LQ55" s="4" t="str">
        <f t="shared" si="113"/>
        <v/>
      </c>
      <c r="LR55" s="4" t="str">
        <f t="shared" si="114"/>
        <v/>
      </c>
      <c r="LS55" s="4" t="str">
        <f t="shared" si="115"/>
        <v/>
      </c>
      <c r="LT55" s="4" t="str">
        <f t="shared" si="116"/>
        <v/>
      </c>
      <c r="LU55" s="4" t="str">
        <f t="shared" si="117"/>
        <v/>
      </c>
      <c r="LV55" s="4" t="str">
        <f t="shared" si="118"/>
        <v/>
      </c>
      <c r="LW55" s="4" t="str">
        <f t="shared" si="119"/>
        <v/>
      </c>
      <c r="LX55" s="4" t="str">
        <f t="shared" si="120"/>
        <v/>
      </c>
      <c r="LY55" s="4" t="str">
        <f t="shared" si="121"/>
        <v/>
      </c>
      <c r="LZ55" s="4" t="str">
        <f t="shared" si="122"/>
        <v/>
      </c>
      <c r="MA55" s="4" t="str">
        <f t="shared" si="123"/>
        <v/>
      </c>
      <c r="MB55" s="4" t="str">
        <f t="shared" si="124"/>
        <v/>
      </c>
      <c r="MC55" s="4" t="str">
        <f t="shared" si="125"/>
        <v/>
      </c>
      <c r="MD55" s="4" t="str">
        <f t="shared" si="126"/>
        <v/>
      </c>
      <c r="ME55" s="4" t="str">
        <f t="shared" si="127"/>
        <v/>
      </c>
      <c r="MF55" s="4" t="str">
        <f t="shared" si="128"/>
        <v/>
      </c>
      <c r="MG55" s="4" t="str">
        <f t="shared" si="129"/>
        <v/>
      </c>
      <c r="MH55" s="4" t="str">
        <f t="shared" si="130"/>
        <v/>
      </c>
      <c r="MI55" s="4" t="str">
        <f t="shared" si="131"/>
        <v/>
      </c>
      <c r="MJ55" s="4" t="str">
        <f t="shared" si="132"/>
        <v/>
      </c>
      <c r="MK55" s="4" t="str">
        <f t="shared" si="133"/>
        <v/>
      </c>
      <c r="ML55" s="4" t="str">
        <f t="shared" si="134"/>
        <v/>
      </c>
      <c r="MM55" s="4" t="str">
        <f t="shared" si="135"/>
        <v/>
      </c>
      <c r="MN55" s="4" t="str">
        <f t="shared" si="136"/>
        <v/>
      </c>
      <c r="MO55" s="4" t="str">
        <f t="shared" si="137"/>
        <v/>
      </c>
      <c r="MP55" s="4" t="str">
        <f t="shared" si="138"/>
        <v/>
      </c>
      <c r="MQ55" s="4" t="str">
        <f t="shared" si="139"/>
        <v/>
      </c>
      <c r="MR55" s="4" t="str">
        <f t="shared" si="140"/>
        <v/>
      </c>
      <c r="MS55" s="4" t="str">
        <f t="shared" si="141"/>
        <v/>
      </c>
      <c r="MT55" s="4" t="str">
        <f t="shared" si="142"/>
        <v/>
      </c>
      <c r="MU55" s="4" t="str">
        <f t="shared" si="143"/>
        <v/>
      </c>
      <c r="MV55" s="4" t="str">
        <f t="shared" si="144"/>
        <v/>
      </c>
      <c r="MW55" s="4" t="str">
        <f t="shared" si="145"/>
        <v/>
      </c>
      <c r="MX55" s="4" t="str">
        <f t="shared" si="146"/>
        <v/>
      </c>
      <c r="MY55" s="4" t="str">
        <f t="shared" si="147"/>
        <v/>
      </c>
      <c r="MZ55" s="4" t="str">
        <f t="shared" si="148"/>
        <v/>
      </c>
      <c r="NA55" s="4" t="str">
        <f t="shared" si="149"/>
        <v/>
      </c>
      <c r="NB55" s="4" t="str">
        <f t="shared" si="150"/>
        <v/>
      </c>
      <c r="NC55" s="4" t="str">
        <f t="shared" si="151"/>
        <v/>
      </c>
      <c r="ND55" s="4" t="str">
        <f t="shared" si="152"/>
        <v/>
      </c>
      <c r="NE55" s="4" t="str">
        <f t="shared" si="153"/>
        <v/>
      </c>
      <c r="NF55" s="4" t="str">
        <f t="shared" si="154"/>
        <v/>
      </c>
      <c r="NG55" s="4" t="str">
        <f t="shared" si="155"/>
        <v/>
      </c>
      <c r="NH55" s="4" t="str">
        <f t="shared" si="156"/>
        <v/>
      </c>
      <c r="NI55" s="4" t="str">
        <f t="shared" si="157"/>
        <v/>
      </c>
      <c r="NJ55" s="4" t="str">
        <f t="shared" si="158"/>
        <v/>
      </c>
      <c r="NK55" s="4" t="str">
        <f t="shared" si="159"/>
        <v/>
      </c>
      <c r="NL55" s="4" t="str">
        <f t="shared" si="160"/>
        <v/>
      </c>
      <c r="NM55" s="4" t="str">
        <f t="shared" si="161"/>
        <v/>
      </c>
      <c r="NN55" s="4" t="str">
        <f t="shared" si="162"/>
        <v/>
      </c>
      <c r="NO55" s="4" t="str">
        <f t="shared" si="163"/>
        <v/>
      </c>
      <c r="NP55" s="4" t="str">
        <f t="shared" si="164"/>
        <v/>
      </c>
      <c r="NQ55" s="4" t="str">
        <f t="shared" si="165"/>
        <v/>
      </c>
      <c r="NR55" s="4" t="str">
        <f t="shared" si="166"/>
        <v/>
      </c>
      <c r="NS55" s="4" t="str">
        <f t="shared" si="167"/>
        <v/>
      </c>
      <c r="NT55" s="4" t="str">
        <f t="shared" si="168"/>
        <v/>
      </c>
      <c r="NU55" s="4" t="str">
        <f t="shared" si="169"/>
        <v/>
      </c>
      <c r="NV55" s="4" t="str">
        <f t="shared" si="170"/>
        <v/>
      </c>
      <c r="NW55" s="4" t="str">
        <f t="shared" si="171"/>
        <v/>
      </c>
      <c r="NX55" s="4" t="str">
        <f t="shared" si="172"/>
        <v/>
      </c>
      <c r="NY55" s="4" t="str">
        <f t="shared" si="173"/>
        <v/>
      </c>
      <c r="NZ55" s="4" t="str">
        <f t="shared" si="174"/>
        <v/>
      </c>
      <c r="OA55" s="4" t="str">
        <f t="shared" si="175"/>
        <v/>
      </c>
      <c r="OB55" s="4" t="str">
        <f t="shared" si="176"/>
        <v/>
      </c>
      <c r="OC55" s="4" t="str">
        <f t="shared" si="177"/>
        <v/>
      </c>
      <c r="OD55" s="4" t="str">
        <f t="shared" si="178"/>
        <v/>
      </c>
      <c r="OE55" s="4" t="str">
        <f t="shared" si="179"/>
        <v/>
      </c>
      <c r="OF55" s="4" t="str">
        <f t="shared" si="180"/>
        <v/>
      </c>
      <c r="OG55" s="4" t="str">
        <f t="shared" si="181"/>
        <v/>
      </c>
      <c r="OH55" s="4" t="str">
        <f t="shared" si="182"/>
        <v/>
      </c>
      <c r="OI55" s="4" t="str">
        <f t="shared" si="183"/>
        <v/>
      </c>
      <c r="OJ55" s="4" t="str">
        <f t="shared" si="184"/>
        <v/>
      </c>
      <c r="OK55" s="4" t="str">
        <f t="shared" si="185"/>
        <v/>
      </c>
      <c r="OL55" s="4" t="str">
        <f t="shared" si="186"/>
        <v/>
      </c>
      <c r="OM55" s="4" t="str">
        <f t="shared" si="187"/>
        <v/>
      </c>
      <c r="ON55" s="4" t="str">
        <f t="shared" si="188"/>
        <v/>
      </c>
      <c r="OO55" s="4" t="str">
        <f t="shared" si="189"/>
        <v/>
      </c>
      <c r="OP55" s="4" t="str">
        <f t="shared" si="190"/>
        <v/>
      </c>
      <c r="OQ55" s="4" t="str">
        <f t="shared" si="191"/>
        <v/>
      </c>
      <c r="OR55" s="4" t="str">
        <f t="shared" si="192"/>
        <v/>
      </c>
      <c r="OS55" s="4" t="str">
        <f t="shared" si="193"/>
        <v/>
      </c>
      <c r="OT55" s="4" t="str">
        <f t="shared" si="194"/>
        <v/>
      </c>
      <c r="OU55" s="4" t="str">
        <f t="shared" si="195"/>
        <v/>
      </c>
      <c r="OV55" s="4" t="str">
        <f t="shared" si="196"/>
        <v/>
      </c>
      <c r="OW55" s="4" t="str">
        <f t="shared" si="197"/>
        <v/>
      </c>
      <c r="OX55" s="4" t="str">
        <f t="shared" si="198"/>
        <v/>
      </c>
      <c r="OY55" s="4" t="str">
        <f t="shared" si="199"/>
        <v/>
      </c>
      <c r="OZ55" s="4" t="str">
        <f t="shared" si="200"/>
        <v/>
      </c>
      <c r="PA55" s="4" t="str">
        <f t="shared" si="201"/>
        <v/>
      </c>
      <c r="PB55" s="4" t="str">
        <f t="shared" si="202"/>
        <v/>
      </c>
      <c r="PC55" s="4" t="str">
        <f t="shared" si="203"/>
        <v/>
      </c>
      <c r="PD55" s="4" t="str">
        <f t="shared" si="204"/>
        <v/>
      </c>
      <c r="PE55" s="4" t="str">
        <f t="shared" si="205"/>
        <v/>
      </c>
      <c r="PF55" s="4" t="str">
        <f t="shared" si="206"/>
        <v/>
      </c>
      <c r="PG55" s="4" t="str">
        <f t="shared" si="207"/>
        <v/>
      </c>
      <c r="PH55" s="4" t="str">
        <f t="shared" si="208"/>
        <v/>
      </c>
      <c r="PI55" s="4" t="str">
        <f t="shared" si="209"/>
        <v/>
      </c>
      <c r="PJ55" s="4" t="str">
        <f t="shared" si="210"/>
        <v/>
      </c>
      <c r="PK55" s="4" t="str">
        <f t="shared" si="211"/>
        <v/>
      </c>
      <c r="PL55" s="4" t="str">
        <f t="shared" si="212"/>
        <v/>
      </c>
      <c r="PM55" s="4" t="str">
        <f t="shared" si="213"/>
        <v/>
      </c>
      <c r="PN55" s="4" t="str">
        <f t="shared" si="214"/>
        <v/>
      </c>
      <c r="PO55" s="4" t="str">
        <f t="shared" si="215"/>
        <v/>
      </c>
      <c r="PP55" s="4" t="str">
        <f t="shared" si="216"/>
        <v/>
      </c>
      <c r="PQ55" s="4" t="str">
        <f t="shared" si="217"/>
        <v/>
      </c>
      <c r="PR55" s="4" t="str">
        <f t="shared" si="218"/>
        <v/>
      </c>
      <c r="PS55" s="4" t="str">
        <f t="shared" si="219"/>
        <v/>
      </c>
    </row>
    <row r="56">
      <c r="HI56" s="4" t="str">
        <f t="shared" si="2"/>
        <v/>
      </c>
      <c r="HJ56" s="4" t="str">
        <f t="shared" si="3"/>
        <v/>
      </c>
      <c r="HK56" s="4" t="str">
        <f t="shared" si="4"/>
        <v/>
      </c>
      <c r="HL56" s="4" t="str">
        <f t="shared" si="5"/>
        <v/>
      </c>
      <c r="HM56" s="4" t="str">
        <f t="shared" si="6"/>
        <v/>
      </c>
      <c r="HN56" s="4" t="str">
        <f t="shared" si="7"/>
        <v/>
      </c>
      <c r="HO56" s="4" t="str">
        <f t="shared" si="8"/>
        <v/>
      </c>
      <c r="HP56" s="4" t="str">
        <f t="shared" si="9"/>
        <v/>
      </c>
      <c r="HQ56" s="4" t="str">
        <f t="shared" si="10"/>
        <v/>
      </c>
      <c r="HR56" s="4" t="str">
        <f t="shared" si="11"/>
        <v/>
      </c>
      <c r="HS56" s="4" t="str">
        <f t="shared" si="12"/>
        <v/>
      </c>
      <c r="HT56" s="4" t="str">
        <f t="shared" si="13"/>
        <v/>
      </c>
      <c r="HU56" s="4" t="str">
        <f t="shared" si="14"/>
        <v/>
      </c>
      <c r="HV56" s="4" t="str">
        <f t="shared" si="15"/>
        <v/>
      </c>
      <c r="HW56" s="4" t="str">
        <f t="shared" si="16"/>
        <v/>
      </c>
      <c r="HX56" s="4" t="str">
        <f t="shared" si="17"/>
        <v/>
      </c>
      <c r="HY56" s="4" t="str">
        <f t="shared" si="18"/>
        <v/>
      </c>
      <c r="HZ56" s="4" t="str">
        <f t="shared" si="19"/>
        <v/>
      </c>
      <c r="IA56" s="4" t="str">
        <f t="shared" si="20"/>
        <v/>
      </c>
      <c r="IB56" s="4" t="str">
        <f t="shared" si="21"/>
        <v/>
      </c>
      <c r="IC56" s="4" t="str">
        <f t="shared" si="22"/>
        <v/>
      </c>
      <c r="ID56" s="4" t="str">
        <f t="shared" si="23"/>
        <v/>
      </c>
      <c r="IE56" s="4" t="str">
        <f t="shared" si="24"/>
        <v/>
      </c>
      <c r="IF56" s="4" t="str">
        <f t="shared" si="25"/>
        <v/>
      </c>
      <c r="IG56" s="4" t="str">
        <f t="shared" si="26"/>
        <v/>
      </c>
      <c r="IH56" s="4" t="str">
        <f t="shared" si="27"/>
        <v/>
      </c>
      <c r="II56" s="4" t="str">
        <f t="shared" si="28"/>
        <v/>
      </c>
      <c r="IJ56" s="4" t="str">
        <f t="shared" si="29"/>
        <v/>
      </c>
      <c r="IK56" s="4" t="str">
        <f t="shared" si="30"/>
        <v/>
      </c>
      <c r="IL56" s="4" t="str">
        <f t="shared" si="31"/>
        <v/>
      </c>
      <c r="IM56" s="4" t="str">
        <f t="shared" si="32"/>
        <v/>
      </c>
      <c r="IN56" s="4" t="str">
        <f t="shared" si="33"/>
        <v/>
      </c>
      <c r="IO56" s="4" t="str">
        <f t="shared" si="34"/>
        <v/>
      </c>
      <c r="IP56" s="4" t="str">
        <f t="shared" si="35"/>
        <v/>
      </c>
      <c r="IQ56" s="4" t="str">
        <f t="shared" si="36"/>
        <v/>
      </c>
      <c r="IR56" s="4" t="str">
        <f t="shared" si="37"/>
        <v/>
      </c>
      <c r="IS56" s="4" t="str">
        <f t="shared" si="38"/>
        <v/>
      </c>
      <c r="IT56" s="4" t="str">
        <f t="shared" si="39"/>
        <v/>
      </c>
      <c r="IU56" s="4" t="str">
        <f t="shared" si="40"/>
        <v/>
      </c>
      <c r="IV56" s="4" t="str">
        <f t="shared" si="41"/>
        <v/>
      </c>
      <c r="IW56" s="4" t="str">
        <f t="shared" si="42"/>
        <v/>
      </c>
      <c r="IX56" s="4" t="str">
        <f t="shared" si="43"/>
        <v/>
      </c>
      <c r="IY56" s="4" t="str">
        <f t="shared" si="44"/>
        <v/>
      </c>
      <c r="IZ56" s="4" t="str">
        <f t="shared" si="45"/>
        <v/>
      </c>
      <c r="JA56" s="4" t="str">
        <f t="shared" ref="JA56:JB56" si="272">if(ISERROR(SEARCH("Higher Education",BB56)),"","810")</f>
        <v/>
      </c>
      <c r="JB56" s="4" t="str">
        <f t="shared" si="272"/>
        <v/>
      </c>
      <c r="JC56" s="4" t="str">
        <f t="shared" si="47"/>
        <v/>
      </c>
      <c r="JD56" s="4" t="str">
        <f t="shared" si="48"/>
        <v/>
      </c>
      <c r="JE56" s="4" t="str">
        <f t="shared" si="49"/>
        <v/>
      </c>
      <c r="JF56" s="4" t="str">
        <f t="shared" si="50"/>
        <v/>
      </c>
      <c r="JG56" s="4" t="str">
        <f t="shared" si="51"/>
        <v/>
      </c>
      <c r="JH56" s="4" t="str">
        <f t="shared" si="52"/>
        <v/>
      </c>
      <c r="JI56" s="4" t="str">
        <f t="shared" si="53"/>
        <v/>
      </c>
      <c r="JJ56" s="4" t="str">
        <f t="shared" si="54"/>
        <v/>
      </c>
      <c r="JK56" s="4" t="str">
        <f t="shared" si="55"/>
        <v/>
      </c>
      <c r="JL56" s="4" t="str">
        <f t="shared" si="56"/>
        <v/>
      </c>
      <c r="JM56" s="4" t="str">
        <f t="shared" si="57"/>
        <v/>
      </c>
      <c r="JN56" s="4" t="str">
        <f t="shared" si="58"/>
        <v/>
      </c>
      <c r="JO56" s="4" t="str">
        <f t="shared" si="59"/>
        <v/>
      </c>
      <c r="JP56" s="4" t="str">
        <f t="shared" si="60"/>
        <v/>
      </c>
      <c r="JQ56" s="4" t="str">
        <f t="shared" si="61"/>
        <v/>
      </c>
      <c r="JR56" s="4" t="str">
        <f t="shared" si="62"/>
        <v/>
      </c>
      <c r="JS56" s="4" t="str">
        <f t="shared" si="63"/>
        <v/>
      </c>
      <c r="JT56" s="4" t="str">
        <f t="shared" si="64"/>
        <v/>
      </c>
      <c r="JU56" s="4" t="str">
        <f t="shared" si="65"/>
        <v/>
      </c>
      <c r="JV56" s="4" t="str">
        <f t="shared" si="66"/>
        <v/>
      </c>
      <c r="JW56" s="4" t="str">
        <f t="shared" si="67"/>
        <v/>
      </c>
      <c r="JX56" s="4" t="str">
        <f t="shared" si="68"/>
        <v/>
      </c>
      <c r="JY56" s="4" t="str">
        <f t="shared" si="69"/>
        <v/>
      </c>
      <c r="JZ56" s="4" t="str">
        <f t="shared" si="70"/>
        <v/>
      </c>
      <c r="KA56" s="4" t="str">
        <f t="shared" si="71"/>
        <v/>
      </c>
      <c r="KB56" s="4" t="str">
        <f t="shared" si="72"/>
        <v/>
      </c>
      <c r="KC56" s="4" t="str">
        <f t="shared" si="73"/>
        <v/>
      </c>
      <c r="KD56" s="4" t="str">
        <f t="shared" si="74"/>
        <v/>
      </c>
      <c r="KE56" s="4" t="str">
        <f t="shared" si="75"/>
        <v/>
      </c>
      <c r="KF56" s="4" t="str">
        <f t="shared" si="76"/>
        <v/>
      </c>
      <c r="KG56" s="4" t="str">
        <f t="shared" si="77"/>
        <v/>
      </c>
      <c r="KH56" s="4" t="str">
        <f t="shared" si="78"/>
        <v/>
      </c>
      <c r="KI56" s="4" t="str">
        <f t="shared" si="79"/>
        <v/>
      </c>
      <c r="KJ56" s="4" t="str">
        <f t="shared" si="80"/>
        <v/>
      </c>
      <c r="KK56" s="4" t="str">
        <f t="shared" si="81"/>
        <v/>
      </c>
      <c r="KL56" s="4" t="str">
        <f t="shared" si="82"/>
        <v/>
      </c>
      <c r="KM56" s="4" t="str">
        <f t="shared" si="83"/>
        <v/>
      </c>
      <c r="KN56" s="4" t="str">
        <f t="shared" si="84"/>
        <v/>
      </c>
      <c r="KO56" s="4" t="str">
        <f t="shared" si="85"/>
        <v/>
      </c>
      <c r="KP56" s="4" t="str">
        <f t="shared" si="86"/>
        <v/>
      </c>
      <c r="KQ56" s="4" t="str">
        <f t="shared" si="87"/>
        <v/>
      </c>
      <c r="KR56" s="4" t="str">
        <f t="shared" si="88"/>
        <v/>
      </c>
      <c r="KS56" s="4" t="str">
        <f t="shared" si="89"/>
        <v/>
      </c>
      <c r="KT56" s="4" t="str">
        <f t="shared" si="90"/>
        <v/>
      </c>
      <c r="KU56" s="4" t="str">
        <f t="shared" si="91"/>
        <v/>
      </c>
      <c r="KV56" s="4" t="str">
        <f t="shared" si="92"/>
        <v/>
      </c>
      <c r="KW56" s="4" t="str">
        <f t="shared" si="93"/>
        <v/>
      </c>
      <c r="KX56" s="4" t="str">
        <f t="shared" si="94"/>
        <v/>
      </c>
      <c r="KY56" s="4" t="str">
        <f t="shared" si="95"/>
        <v/>
      </c>
      <c r="KZ56" s="4" t="str">
        <f t="shared" si="96"/>
        <v/>
      </c>
      <c r="LA56" s="4" t="str">
        <f t="shared" si="97"/>
        <v/>
      </c>
      <c r="LB56" s="4" t="str">
        <f t="shared" si="98"/>
        <v/>
      </c>
      <c r="LC56" s="4" t="str">
        <f t="shared" si="99"/>
        <v/>
      </c>
      <c r="LD56" s="4" t="str">
        <f t="shared" si="100"/>
        <v/>
      </c>
      <c r="LE56" s="4" t="str">
        <f t="shared" si="101"/>
        <v/>
      </c>
      <c r="LF56" s="4" t="str">
        <f t="shared" si="102"/>
        <v/>
      </c>
      <c r="LG56" s="4" t="str">
        <f t="shared" si="103"/>
        <v/>
      </c>
      <c r="LH56" s="4" t="str">
        <f t="shared" si="104"/>
        <v/>
      </c>
      <c r="LI56" s="4" t="str">
        <f t="shared" si="105"/>
        <v/>
      </c>
      <c r="LJ56" s="4" t="str">
        <f t="shared" si="106"/>
        <v/>
      </c>
      <c r="LK56" s="4" t="str">
        <f t="shared" si="107"/>
        <v/>
      </c>
      <c r="LL56" s="4" t="str">
        <f t="shared" si="108"/>
        <v/>
      </c>
      <c r="LM56" s="4" t="str">
        <f t="shared" si="109"/>
        <v/>
      </c>
      <c r="LN56" s="4" t="str">
        <f t="shared" si="110"/>
        <v/>
      </c>
      <c r="LO56" s="4" t="str">
        <f t="shared" si="111"/>
        <v/>
      </c>
      <c r="LP56" s="4" t="str">
        <f t="shared" si="112"/>
        <v/>
      </c>
      <c r="LQ56" s="4" t="str">
        <f t="shared" si="113"/>
        <v/>
      </c>
      <c r="LR56" s="4" t="str">
        <f t="shared" si="114"/>
        <v/>
      </c>
      <c r="LS56" s="4" t="str">
        <f t="shared" si="115"/>
        <v/>
      </c>
      <c r="LT56" s="4" t="str">
        <f t="shared" si="116"/>
        <v/>
      </c>
      <c r="LU56" s="4" t="str">
        <f t="shared" si="117"/>
        <v/>
      </c>
      <c r="LV56" s="4" t="str">
        <f t="shared" si="118"/>
        <v/>
      </c>
      <c r="LW56" s="4" t="str">
        <f t="shared" si="119"/>
        <v/>
      </c>
      <c r="LX56" s="4" t="str">
        <f t="shared" si="120"/>
        <v/>
      </c>
      <c r="LY56" s="4" t="str">
        <f t="shared" si="121"/>
        <v/>
      </c>
      <c r="LZ56" s="4" t="str">
        <f t="shared" si="122"/>
        <v/>
      </c>
      <c r="MA56" s="4" t="str">
        <f t="shared" si="123"/>
        <v/>
      </c>
      <c r="MB56" s="4" t="str">
        <f t="shared" si="124"/>
        <v/>
      </c>
      <c r="MC56" s="4" t="str">
        <f t="shared" si="125"/>
        <v/>
      </c>
      <c r="MD56" s="4" t="str">
        <f t="shared" si="126"/>
        <v/>
      </c>
      <c r="ME56" s="4" t="str">
        <f t="shared" si="127"/>
        <v/>
      </c>
      <c r="MF56" s="4" t="str">
        <f t="shared" si="128"/>
        <v/>
      </c>
      <c r="MG56" s="4" t="str">
        <f t="shared" si="129"/>
        <v/>
      </c>
      <c r="MH56" s="4" t="str">
        <f t="shared" si="130"/>
        <v/>
      </c>
      <c r="MI56" s="4" t="str">
        <f t="shared" si="131"/>
        <v/>
      </c>
      <c r="MJ56" s="4" t="str">
        <f t="shared" si="132"/>
        <v/>
      </c>
      <c r="MK56" s="4" t="str">
        <f t="shared" si="133"/>
        <v/>
      </c>
      <c r="ML56" s="4" t="str">
        <f t="shared" si="134"/>
        <v/>
      </c>
      <c r="MM56" s="4" t="str">
        <f t="shared" si="135"/>
        <v/>
      </c>
      <c r="MN56" s="4" t="str">
        <f t="shared" si="136"/>
        <v/>
      </c>
      <c r="MO56" s="4" t="str">
        <f t="shared" si="137"/>
        <v/>
      </c>
      <c r="MP56" s="4" t="str">
        <f t="shared" si="138"/>
        <v/>
      </c>
      <c r="MQ56" s="4" t="str">
        <f t="shared" si="139"/>
        <v/>
      </c>
      <c r="MR56" s="4" t="str">
        <f t="shared" si="140"/>
        <v/>
      </c>
      <c r="MS56" s="4" t="str">
        <f t="shared" si="141"/>
        <v/>
      </c>
      <c r="MT56" s="4" t="str">
        <f t="shared" si="142"/>
        <v/>
      </c>
      <c r="MU56" s="4" t="str">
        <f t="shared" si="143"/>
        <v/>
      </c>
      <c r="MV56" s="4" t="str">
        <f t="shared" si="144"/>
        <v/>
      </c>
      <c r="MW56" s="4" t="str">
        <f t="shared" si="145"/>
        <v/>
      </c>
      <c r="MX56" s="4" t="str">
        <f t="shared" si="146"/>
        <v/>
      </c>
      <c r="MY56" s="4" t="str">
        <f t="shared" si="147"/>
        <v/>
      </c>
      <c r="MZ56" s="4" t="str">
        <f t="shared" si="148"/>
        <v/>
      </c>
      <c r="NA56" s="4" t="str">
        <f t="shared" si="149"/>
        <v/>
      </c>
      <c r="NB56" s="4" t="str">
        <f t="shared" si="150"/>
        <v/>
      </c>
      <c r="NC56" s="4" t="str">
        <f t="shared" si="151"/>
        <v/>
      </c>
      <c r="ND56" s="4" t="str">
        <f t="shared" si="152"/>
        <v/>
      </c>
      <c r="NE56" s="4" t="str">
        <f t="shared" si="153"/>
        <v/>
      </c>
      <c r="NF56" s="4" t="str">
        <f t="shared" si="154"/>
        <v/>
      </c>
      <c r="NG56" s="4" t="str">
        <f t="shared" si="155"/>
        <v/>
      </c>
      <c r="NH56" s="4" t="str">
        <f t="shared" si="156"/>
        <v/>
      </c>
      <c r="NI56" s="4" t="str">
        <f t="shared" si="157"/>
        <v/>
      </c>
      <c r="NJ56" s="4" t="str">
        <f t="shared" si="158"/>
        <v/>
      </c>
      <c r="NK56" s="4" t="str">
        <f t="shared" si="159"/>
        <v/>
      </c>
      <c r="NL56" s="4" t="str">
        <f t="shared" si="160"/>
        <v/>
      </c>
      <c r="NM56" s="4" t="str">
        <f t="shared" si="161"/>
        <v/>
      </c>
      <c r="NN56" s="4" t="str">
        <f t="shared" si="162"/>
        <v/>
      </c>
      <c r="NO56" s="4" t="str">
        <f t="shared" si="163"/>
        <v/>
      </c>
      <c r="NP56" s="4" t="str">
        <f t="shared" si="164"/>
        <v/>
      </c>
      <c r="NQ56" s="4" t="str">
        <f t="shared" si="165"/>
        <v/>
      </c>
      <c r="NR56" s="4" t="str">
        <f t="shared" si="166"/>
        <v/>
      </c>
      <c r="NS56" s="4" t="str">
        <f t="shared" si="167"/>
        <v/>
      </c>
      <c r="NT56" s="4" t="str">
        <f t="shared" si="168"/>
        <v/>
      </c>
      <c r="NU56" s="4" t="str">
        <f t="shared" si="169"/>
        <v/>
      </c>
      <c r="NV56" s="4" t="str">
        <f t="shared" si="170"/>
        <v/>
      </c>
      <c r="NW56" s="4" t="str">
        <f t="shared" si="171"/>
        <v/>
      </c>
      <c r="NX56" s="4" t="str">
        <f t="shared" si="172"/>
        <v/>
      </c>
      <c r="NY56" s="4" t="str">
        <f t="shared" si="173"/>
        <v/>
      </c>
      <c r="NZ56" s="4" t="str">
        <f t="shared" si="174"/>
        <v/>
      </c>
      <c r="OA56" s="4" t="str">
        <f t="shared" si="175"/>
        <v/>
      </c>
      <c r="OB56" s="4" t="str">
        <f t="shared" si="176"/>
        <v/>
      </c>
      <c r="OC56" s="4" t="str">
        <f t="shared" si="177"/>
        <v/>
      </c>
      <c r="OD56" s="4" t="str">
        <f t="shared" si="178"/>
        <v/>
      </c>
      <c r="OE56" s="4" t="str">
        <f t="shared" si="179"/>
        <v/>
      </c>
      <c r="OF56" s="4" t="str">
        <f t="shared" si="180"/>
        <v/>
      </c>
      <c r="OG56" s="4" t="str">
        <f t="shared" si="181"/>
        <v/>
      </c>
      <c r="OH56" s="4" t="str">
        <f t="shared" si="182"/>
        <v/>
      </c>
      <c r="OI56" s="4" t="str">
        <f t="shared" si="183"/>
        <v/>
      </c>
      <c r="OJ56" s="4" t="str">
        <f t="shared" si="184"/>
        <v/>
      </c>
      <c r="OK56" s="4" t="str">
        <f t="shared" si="185"/>
        <v/>
      </c>
      <c r="OL56" s="4" t="str">
        <f t="shared" si="186"/>
        <v/>
      </c>
      <c r="OM56" s="4" t="str">
        <f t="shared" si="187"/>
        <v/>
      </c>
      <c r="ON56" s="4" t="str">
        <f t="shared" si="188"/>
        <v/>
      </c>
      <c r="OO56" s="4" t="str">
        <f t="shared" si="189"/>
        <v/>
      </c>
      <c r="OP56" s="4" t="str">
        <f t="shared" si="190"/>
        <v/>
      </c>
      <c r="OQ56" s="4" t="str">
        <f t="shared" si="191"/>
        <v/>
      </c>
      <c r="OR56" s="4" t="str">
        <f t="shared" si="192"/>
        <v/>
      </c>
      <c r="OS56" s="4" t="str">
        <f t="shared" si="193"/>
        <v/>
      </c>
      <c r="OT56" s="4" t="str">
        <f t="shared" si="194"/>
        <v/>
      </c>
      <c r="OU56" s="4" t="str">
        <f t="shared" si="195"/>
        <v/>
      </c>
      <c r="OV56" s="4" t="str">
        <f t="shared" si="196"/>
        <v/>
      </c>
      <c r="OW56" s="4" t="str">
        <f t="shared" si="197"/>
        <v/>
      </c>
      <c r="OX56" s="4" t="str">
        <f t="shared" si="198"/>
        <v/>
      </c>
      <c r="OY56" s="4" t="str">
        <f t="shared" si="199"/>
        <v/>
      </c>
      <c r="OZ56" s="4" t="str">
        <f t="shared" si="200"/>
        <v/>
      </c>
      <c r="PA56" s="4" t="str">
        <f t="shared" si="201"/>
        <v/>
      </c>
      <c r="PB56" s="4" t="str">
        <f t="shared" si="202"/>
        <v/>
      </c>
      <c r="PC56" s="4" t="str">
        <f t="shared" si="203"/>
        <v/>
      </c>
      <c r="PD56" s="4" t="str">
        <f t="shared" si="204"/>
        <v/>
      </c>
      <c r="PE56" s="4" t="str">
        <f t="shared" si="205"/>
        <v/>
      </c>
      <c r="PF56" s="4" t="str">
        <f t="shared" si="206"/>
        <v/>
      </c>
      <c r="PG56" s="4" t="str">
        <f t="shared" si="207"/>
        <v/>
      </c>
      <c r="PH56" s="4" t="str">
        <f t="shared" si="208"/>
        <v/>
      </c>
      <c r="PI56" s="4" t="str">
        <f t="shared" si="209"/>
        <v/>
      </c>
      <c r="PJ56" s="4" t="str">
        <f t="shared" si="210"/>
        <v/>
      </c>
      <c r="PK56" s="4" t="str">
        <f t="shared" si="211"/>
        <v/>
      </c>
      <c r="PL56" s="4" t="str">
        <f t="shared" si="212"/>
        <v/>
      </c>
      <c r="PM56" s="4" t="str">
        <f t="shared" si="213"/>
        <v/>
      </c>
      <c r="PN56" s="4" t="str">
        <f t="shared" si="214"/>
        <v/>
      </c>
      <c r="PO56" s="4" t="str">
        <f t="shared" si="215"/>
        <v/>
      </c>
      <c r="PP56" s="4" t="str">
        <f t="shared" si="216"/>
        <v/>
      </c>
      <c r="PQ56" s="4" t="str">
        <f t="shared" si="217"/>
        <v/>
      </c>
      <c r="PR56" s="4" t="str">
        <f t="shared" si="218"/>
        <v/>
      </c>
      <c r="PS56" s="4" t="str">
        <f t="shared" si="219"/>
        <v/>
      </c>
    </row>
    <row r="57">
      <c r="HI57" s="4" t="str">
        <f t="shared" si="2"/>
        <v/>
      </c>
      <c r="HJ57" s="4" t="str">
        <f t="shared" si="3"/>
        <v/>
      </c>
      <c r="HK57" s="4" t="str">
        <f t="shared" si="4"/>
        <v/>
      </c>
      <c r="HL57" s="4" t="str">
        <f t="shared" si="5"/>
        <v/>
      </c>
      <c r="HM57" s="4" t="str">
        <f t="shared" si="6"/>
        <v/>
      </c>
      <c r="HN57" s="4" t="str">
        <f t="shared" si="7"/>
        <v/>
      </c>
      <c r="HO57" s="4" t="str">
        <f t="shared" si="8"/>
        <v/>
      </c>
      <c r="HP57" s="4" t="str">
        <f t="shared" si="9"/>
        <v/>
      </c>
      <c r="HQ57" s="4" t="str">
        <f t="shared" si="10"/>
        <v/>
      </c>
      <c r="HR57" s="4" t="str">
        <f t="shared" si="11"/>
        <v/>
      </c>
      <c r="HS57" s="4" t="str">
        <f t="shared" si="12"/>
        <v/>
      </c>
      <c r="HT57" s="4" t="str">
        <f t="shared" si="13"/>
        <v/>
      </c>
      <c r="HU57" s="4" t="str">
        <f t="shared" si="14"/>
        <v/>
      </c>
      <c r="HV57" s="4" t="str">
        <f t="shared" si="15"/>
        <v/>
      </c>
      <c r="HW57" s="4" t="str">
        <f t="shared" si="16"/>
        <v/>
      </c>
      <c r="HX57" s="4" t="str">
        <f t="shared" si="17"/>
        <v/>
      </c>
      <c r="HY57" s="4" t="str">
        <f t="shared" si="18"/>
        <v/>
      </c>
      <c r="HZ57" s="4" t="str">
        <f t="shared" si="19"/>
        <v/>
      </c>
      <c r="IA57" s="4" t="str">
        <f t="shared" si="20"/>
        <v/>
      </c>
      <c r="IB57" s="4" t="str">
        <f t="shared" si="21"/>
        <v/>
      </c>
      <c r="IC57" s="4" t="str">
        <f t="shared" si="22"/>
        <v/>
      </c>
      <c r="ID57" s="4" t="str">
        <f t="shared" si="23"/>
        <v/>
      </c>
      <c r="IE57" s="4" t="str">
        <f t="shared" si="24"/>
        <v/>
      </c>
      <c r="IF57" s="4" t="str">
        <f t="shared" si="25"/>
        <v/>
      </c>
      <c r="IG57" s="4" t="str">
        <f t="shared" si="26"/>
        <v/>
      </c>
      <c r="IH57" s="4" t="str">
        <f t="shared" si="27"/>
        <v/>
      </c>
      <c r="II57" s="4" t="str">
        <f t="shared" si="28"/>
        <v/>
      </c>
      <c r="IJ57" s="4" t="str">
        <f t="shared" si="29"/>
        <v/>
      </c>
      <c r="IK57" s="4" t="str">
        <f t="shared" si="30"/>
        <v/>
      </c>
      <c r="IL57" s="4" t="str">
        <f t="shared" si="31"/>
        <v/>
      </c>
      <c r="IM57" s="4" t="str">
        <f t="shared" si="32"/>
        <v/>
      </c>
      <c r="IN57" s="4" t="str">
        <f t="shared" si="33"/>
        <v/>
      </c>
      <c r="IO57" s="4" t="str">
        <f t="shared" si="34"/>
        <v/>
      </c>
      <c r="IP57" s="4" t="str">
        <f t="shared" si="35"/>
        <v/>
      </c>
      <c r="IQ57" s="4" t="str">
        <f t="shared" si="36"/>
        <v/>
      </c>
      <c r="IR57" s="4" t="str">
        <f t="shared" si="37"/>
        <v/>
      </c>
      <c r="IS57" s="4" t="str">
        <f t="shared" si="38"/>
        <v/>
      </c>
      <c r="IT57" s="4" t="str">
        <f t="shared" si="39"/>
        <v/>
      </c>
      <c r="IU57" s="4" t="str">
        <f t="shared" si="40"/>
        <v/>
      </c>
      <c r="IV57" s="4" t="str">
        <f t="shared" si="41"/>
        <v/>
      </c>
      <c r="IW57" s="4" t="str">
        <f t="shared" si="42"/>
        <v/>
      </c>
      <c r="IX57" s="4" t="str">
        <f t="shared" si="43"/>
        <v/>
      </c>
      <c r="IY57" s="4" t="str">
        <f t="shared" si="44"/>
        <v/>
      </c>
      <c r="IZ57" s="4" t="str">
        <f t="shared" si="45"/>
        <v/>
      </c>
      <c r="JA57" s="4" t="str">
        <f t="shared" ref="JA57:JB57" si="273">if(ISERROR(SEARCH("Higher Education",BB57)),"","810")</f>
        <v/>
      </c>
      <c r="JB57" s="4" t="str">
        <f t="shared" si="273"/>
        <v/>
      </c>
      <c r="JC57" s="4" t="str">
        <f t="shared" si="47"/>
        <v/>
      </c>
      <c r="JD57" s="4" t="str">
        <f t="shared" si="48"/>
        <v/>
      </c>
      <c r="JE57" s="4" t="str">
        <f t="shared" si="49"/>
        <v/>
      </c>
      <c r="JF57" s="4" t="str">
        <f t="shared" si="50"/>
        <v/>
      </c>
      <c r="JG57" s="4" t="str">
        <f t="shared" si="51"/>
        <v/>
      </c>
      <c r="JH57" s="4" t="str">
        <f t="shared" si="52"/>
        <v/>
      </c>
      <c r="JI57" s="4" t="str">
        <f t="shared" si="53"/>
        <v/>
      </c>
      <c r="JJ57" s="4" t="str">
        <f t="shared" si="54"/>
        <v/>
      </c>
      <c r="JK57" s="4" t="str">
        <f t="shared" si="55"/>
        <v/>
      </c>
      <c r="JL57" s="4" t="str">
        <f t="shared" si="56"/>
        <v/>
      </c>
      <c r="JM57" s="4" t="str">
        <f t="shared" si="57"/>
        <v/>
      </c>
      <c r="JN57" s="4" t="str">
        <f t="shared" si="58"/>
        <v/>
      </c>
      <c r="JO57" s="4" t="str">
        <f t="shared" si="59"/>
        <v/>
      </c>
      <c r="JP57" s="4" t="str">
        <f t="shared" si="60"/>
        <v/>
      </c>
      <c r="JQ57" s="4" t="str">
        <f t="shared" si="61"/>
        <v/>
      </c>
      <c r="JR57" s="4" t="str">
        <f t="shared" si="62"/>
        <v/>
      </c>
      <c r="JS57" s="4" t="str">
        <f t="shared" si="63"/>
        <v/>
      </c>
      <c r="JT57" s="4" t="str">
        <f t="shared" si="64"/>
        <v/>
      </c>
      <c r="JU57" s="4" t="str">
        <f t="shared" si="65"/>
        <v/>
      </c>
      <c r="JV57" s="4" t="str">
        <f t="shared" si="66"/>
        <v/>
      </c>
      <c r="JW57" s="4" t="str">
        <f t="shared" si="67"/>
        <v/>
      </c>
      <c r="JX57" s="4" t="str">
        <f t="shared" si="68"/>
        <v/>
      </c>
      <c r="JY57" s="4" t="str">
        <f t="shared" si="69"/>
        <v/>
      </c>
      <c r="JZ57" s="4" t="str">
        <f t="shared" si="70"/>
        <v/>
      </c>
      <c r="KA57" s="4" t="str">
        <f t="shared" si="71"/>
        <v/>
      </c>
      <c r="KB57" s="4" t="str">
        <f t="shared" si="72"/>
        <v/>
      </c>
      <c r="KC57" s="4" t="str">
        <f t="shared" si="73"/>
        <v/>
      </c>
      <c r="KD57" s="4" t="str">
        <f t="shared" si="74"/>
        <v/>
      </c>
      <c r="KE57" s="4" t="str">
        <f t="shared" si="75"/>
        <v/>
      </c>
      <c r="KF57" s="4" t="str">
        <f t="shared" si="76"/>
        <v/>
      </c>
      <c r="KG57" s="4" t="str">
        <f t="shared" si="77"/>
        <v/>
      </c>
      <c r="KH57" s="4" t="str">
        <f t="shared" si="78"/>
        <v/>
      </c>
      <c r="KI57" s="4" t="str">
        <f t="shared" si="79"/>
        <v/>
      </c>
      <c r="KJ57" s="4" t="str">
        <f t="shared" si="80"/>
        <v/>
      </c>
      <c r="KK57" s="4" t="str">
        <f t="shared" si="81"/>
        <v/>
      </c>
      <c r="KL57" s="4" t="str">
        <f t="shared" si="82"/>
        <v/>
      </c>
      <c r="KM57" s="4" t="str">
        <f t="shared" si="83"/>
        <v/>
      </c>
      <c r="KN57" s="4" t="str">
        <f t="shared" si="84"/>
        <v/>
      </c>
      <c r="KO57" s="4" t="str">
        <f t="shared" si="85"/>
        <v/>
      </c>
      <c r="KP57" s="4" t="str">
        <f t="shared" si="86"/>
        <v/>
      </c>
      <c r="KQ57" s="4" t="str">
        <f t="shared" si="87"/>
        <v/>
      </c>
      <c r="KR57" s="4" t="str">
        <f t="shared" si="88"/>
        <v/>
      </c>
      <c r="KS57" s="4" t="str">
        <f t="shared" si="89"/>
        <v/>
      </c>
      <c r="KT57" s="4" t="str">
        <f t="shared" si="90"/>
        <v/>
      </c>
      <c r="KU57" s="4" t="str">
        <f t="shared" si="91"/>
        <v/>
      </c>
      <c r="KV57" s="4" t="str">
        <f t="shared" si="92"/>
        <v/>
      </c>
      <c r="KW57" s="4" t="str">
        <f t="shared" si="93"/>
        <v/>
      </c>
      <c r="KX57" s="4" t="str">
        <f t="shared" si="94"/>
        <v/>
      </c>
      <c r="KY57" s="4" t="str">
        <f t="shared" si="95"/>
        <v/>
      </c>
      <c r="KZ57" s="4" t="str">
        <f t="shared" si="96"/>
        <v/>
      </c>
      <c r="LA57" s="4" t="str">
        <f t="shared" si="97"/>
        <v/>
      </c>
      <c r="LB57" s="4" t="str">
        <f t="shared" si="98"/>
        <v/>
      </c>
      <c r="LC57" s="4" t="str">
        <f t="shared" si="99"/>
        <v/>
      </c>
      <c r="LD57" s="4" t="str">
        <f t="shared" si="100"/>
        <v/>
      </c>
      <c r="LE57" s="4" t="str">
        <f t="shared" si="101"/>
        <v/>
      </c>
      <c r="LF57" s="4" t="str">
        <f t="shared" si="102"/>
        <v/>
      </c>
      <c r="LG57" s="4" t="str">
        <f t="shared" si="103"/>
        <v/>
      </c>
      <c r="LH57" s="4" t="str">
        <f t="shared" si="104"/>
        <v/>
      </c>
      <c r="LI57" s="4" t="str">
        <f t="shared" si="105"/>
        <v/>
      </c>
      <c r="LJ57" s="4" t="str">
        <f t="shared" si="106"/>
        <v/>
      </c>
      <c r="LK57" s="4" t="str">
        <f t="shared" si="107"/>
        <v/>
      </c>
      <c r="LL57" s="4" t="str">
        <f t="shared" si="108"/>
        <v/>
      </c>
      <c r="LM57" s="4" t="str">
        <f t="shared" si="109"/>
        <v/>
      </c>
      <c r="LN57" s="4" t="str">
        <f t="shared" si="110"/>
        <v/>
      </c>
      <c r="LO57" s="4" t="str">
        <f t="shared" si="111"/>
        <v/>
      </c>
      <c r="LP57" s="4" t="str">
        <f t="shared" si="112"/>
        <v/>
      </c>
      <c r="LQ57" s="4" t="str">
        <f t="shared" si="113"/>
        <v/>
      </c>
      <c r="LR57" s="4" t="str">
        <f t="shared" si="114"/>
        <v/>
      </c>
      <c r="LS57" s="4" t="str">
        <f t="shared" si="115"/>
        <v/>
      </c>
      <c r="LT57" s="4" t="str">
        <f t="shared" si="116"/>
        <v/>
      </c>
      <c r="LU57" s="4" t="str">
        <f t="shared" si="117"/>
        <v/>
      </c>
      <c r="LV57" s="4" t="str">
        <f t="shared" si="118"/>
        <v/>
      </c>
      <c r="LW57" s="4" t="str">
        <f t="shared" si="119"/>
        <v/>
      </c>
      <c r="LX57" s="4" t="str">
        <f t="shared" si="120"/>
        <v/>
      </c>
      <c r="LY57" s="4" t="str">
        <f t="shared" si="121"/>
        <v/>
      </c>
      <c r="LZ57" s="4" t="str">
        <f t="shared" si="122"/>
        <v/>
      </c>
      <c r="MA57" s="4" t="str">
        <f t="shared" si="123"/>
        <v/>
      </c>
      <c r="MB57" s="4" t="str">
        <f t="shared" si="124"/>
        <v/>
      </c>
      <c r="MC57" s="4" t="str">
        <f t="shared" si="125"/>
        <v/>
      </c>
      <c r="MD57" s="4" t="str">
        <f t="shared" si="126"/>
        <v/>
      </c>
      <c r="ME57" s="4" t="str">
        <f t="shared" si="127"/>
        <v/>
      </c>
      <c r="MF57" s="4" t="str">
        <f t="shared" si="128"/>
        <v/>
      </c>
      <c r="MG57" s="4" t="str">
        <f t="shared" si="129"/>
        <v/>
      </c>
      <c r="MH57" s="4" t="str">
        <f t="shared" si="130"/>
        <v/>
      </c>
      <c r="MI57" s="4" t="str">
        <f t="shared" si="131"/>
        <v/>
      </c>
      <c r="MJ57" s="4" t="str">
        <f t="shared" si="132"/>
        <v/>
      </c>
      <c r="MK57" s="4" t="str">
        <f t="shared" si="133"/>
        <v/>
      </c>
      <c r="ML57" s="4" t="str">
        <f t="shared" si="134"/>
        <v/>
      </c>
      <c r="MM57" s="4" t="str">
        <f t="shared" si="135"/>
        <v/>
      </c>
      <c r="MN57" s="4" t="str">
        <f t="shared" si="136"/>
        <v/>
      </c>
      <c r="MO57" s="4" t="str">
        <f t="shared" si="137"/>
        <v/>
      </c>
      <c r="MP57" s="4" t="str">
        <f t="shared" si="138"/>
        <v/>
      </c>
      <c r="MQ57" s="4" t="str">
        <f t="shared" si="139"/>
        <v/>
      </c>
      <c r="MR57" s="4" t="str">
        <f t="shared" si="140"/>
        <v/>
      </c>
      <c r="MS57" s="4" t="str">
        <f t="shared" si="141"/>
        <v/>
      </c>
      <c r="MT57" s="4" t="str">
        <f t="shared" si="142"/>
        <v/>
      </c>
      <c r="MU57" s="4" t="str">
        <f t="shared" si="143"/>
        <v/>
      </c>
      <c r="MV57" s="4" t="str">
        <f t="shared" si="144"/>
        <v/>
      </c>
      <c r="MW57" s="4" t="str">
        <f t="shared" si="145"/>
        <v/>
      </c>
      <c r="MX57" s="4" t="str">
        <f t="shared" si="146"/>
        <v/>
      </c>
      <c r="MY57" s="4" t="str">
        <f t="shared" si="147"/>
        <v/>
      </c>
      <c r="MZ57" s="4" t="str">
        <f t="shared" si="148"/>
        <v/>
      </c>
      <c r="NA57" s="4" t="str">
        <f t="shared" si="149"/>
        <v/>
      </c>
      <c r="NB57" s="4" t="str">
        <f t="shared" si="150"/>
        <v/>
      </c>
      <c r="NC57" s="4" t="str">
        <f t="shared" si="151"/>
        <v/>
      </c>
      <c r="ND57" s="4" t="str">
        <f t="shared" si="152"/>
        <v/>
      </c>
      <c r="NE57" s="4" t="str">
        <f t="shared" si="153"/>
        <v/>
      </c>
      <c r="NF57" s="4" t="str">
        <f t="shared" si="154"/>
        <v/>
      </c>
      <c r="NG57" s="4" t="str">
        <f t="shared" si="155"/>
        <v/>
      </c>
      <c r="NH57" s="4" t="str">
        <f t="shared" si="156"/>
        <v/>
      </c>
      <c r="NI57" s="4" t="str">
        <f t="shared" si="157"/>
        <v/>
      </c>
      <c r="NJ57" s="4" t="str">
        <f t="shared" si="158"/>
        <v/>
      </c>
      <c r="NK57" s="4" t="str">
        <f t="shared" si="159"/>
        <v/>
      </c>
      <c r="NL57" s="4" t="str">
        <f t="shared" si="160"/>
        <v/>
      </c>
      <c r="NM57" s="4" t="str">
        <f t="shared" si="161"/>
        <v/>
      </c>
      <c r="NN57" s="4" t="str">
        <f t="shared" si="162"/>
        <v/>
      </c>
      <c r="NO57" s="4" t="str">
        <f t="shared" si="163"/>
        <v/>
      </c>
      <c r="NP57" s="4" t="str">
        <f t="shared" si="164"/>
        <v/>
      </c>
      <c r="NQ57" s="4" t="str">
        <f t="shared" si="165"/>
        <v/>
      </c>
      <c r="NR57" s="4" t="str">
        <f t="shared" si="166"/>
        <v/>
      </c>
      <c r="NS57" s="4" t="str">
        <f t="shared" si="167"/>
        <v/>
      </c>
      <c r="NT57" s="4" t="str">
        <f t="shared" si="168"/>
        <v/>
      </c>
      <c r="NU57" s="4" t="str">
        <f t="shared" si="169"/>
        <v/>
      </c>
      <c r="NV57" s="4" t="str">
        <f t="shared" si="170"/>
        <v/>
      </c>
      <c r="NW57" s="4" t="str">
        <f t="shared" si="171"/>
        <v/>
      </c>
      <c r="NX57" s="4" t="str">
        <f t="shared" si="172"/>
        <v/>
      </c>
      <c r="NY57" s="4" t="str">
        <f t="shared" si="173"/>
        <v/>
      </c>
      <c r="NZ57" s="4" t="str">
        <f t="shared" si="174"/>
        <v/>
      </c>
      <c r="OA57" s="4" t="str">
        <f t="shared" si="175"/>
        <v/>
      </c>
      <c r="OB57" s="4" t="str">
        <f t="shared" si="176"/>
        <v/>
      </c>
      <c r="OC57" s="4" t="str">
        <f t="shared" si="177"/>
        <v/>
      </c>
      <c r="OD57" s="4" t="str">
        <f t="shared" si="178"/>
        <v/>
      </c>
      <c r="OE57" s="4" t="str">
        <f t="shared" si="179"/>
        <v/>
      </c>
      <c r="OF57" s="4" t="str">
        <f t="shared" si="180"/>
        <v/>
      </c>
      <c r="OG57" s="4" t="str">
        <f t="shared" si="181"/>
        <v/>
      </c>
      <c r="OH57" s="4" t="str">
        <f t="shared" si="182"/>
        <v/>
      </c>
      <c r="OI57" s="4" t="str">
        <f t="shared" si="183"/>
        <v/>
      </c>
      <c r="OJ57" s="4" t="str">
        <f t="shared" si="184"/>
        <v/>
      </c>
      <c r="OK57" s="4" t="str">
        <f t="shared" si="185"/>
        <v/>
      </c>
      <c r="OL57" s="4" t="str">
        <f t="shared" si="186"/>
        <v/>
      </c>
      <c r="OM57" s="4" t="str">
        <f t="shared" si="187"/>
        <v/>
      </c>
      <c r="ON57" s="4" t="str">
        <f t="shared" si="188"/>
        <v/>
      </c>
      <c r="OO57" s="4" t="str">
        <f t="shared" si="189"/>
        <v/>
      </c>
      <c r="OP57" s="4" t="str">
        <f t="shared" si="190"/>
        <v/>
      </c>
      <c r="OQ57" s="4" t="str">
        <f t="shared" si="191"/>
        <v/>
      </c>
      <c r="OR57" s="4" t="str">
        <f t="shared" si="192"/>
        <v/>
      </c>
      <c r="OS57" s="4" t="str">
        <f t="shared" si="193"/>
        <v/>
      </c>
      <c r="OT57" s="4" t="str">
        <f t="shared" si="194"/>
        <v/>
      </c>
      <c r="OU57" s="4" t="str">
        <f t="shared" si="195"/>
        <v/>
      </c>
      <c r="OV57" s="4" t="str">
        <f t="shared" si="196"/>
        <v/>
      </c>
      <c r="OW57" s="4" t="str">
        <f t="shared" si="197"/>
        <v/>
      </c>
      <c r="OX57" s="4" t="str">
        <f t="shared" si="198"/>
        <v/>
      </c>
      <c r="OY57" s="4" t="str">
        <f t="shared" si="199"/>
        <v/>
      </c>
      <c r="OZ57" s="4" t="str">
        <f t="shared" si="200"/>
        <v/>
      </c>
      <c r="PA57" s="4" t="str">
        <f t="shared" si="201"/>
        <v/>
      </c>
      <c r="PB57" s="4" t="str">
        <f t="shared" si="202"/>
        <v/>
      </c>
      <c r="PC57" s="4" t="str">
        <f t="shared" si="203"/>
        <v/>
      </c>
      <c r="PD57" s="4" t="str">
        <f t="shared" si="204"/>
        <v/>
      </c>
      <c r="PE57" s="4" t="str">
        <f t="shared" si="205"/>
        <v/>
      </c>
      <c r="PF57" s="4" t="str">
        <f t="shared" si="206"/>
        <v/>
      </c>
      <c r="PG57" s="4" t="str">
        <f t="shared" si="207"/>
        <v/>
      </c>
      <c r="PH57" s="4" t="str">
        <f t="shared" si="208"/>
        <v/>
      </c>
      <c r="PI57" s="4" t="str">
        <f t="shared" si="209"/>
        <v/>
      </c>
      <c r="PJ57" s="4" t="str">
        <f t="shared" si="210"/>
        <v/>
      </c>
      <c r="PK57" s="4" t="str">
        <f t="shared" si="211"/>
        <v/>
      </c>
      <c r="PL57" s="4" t="str">
        <f t="shared" si="212"/>
        <v/>
      </c>
      <c r="PM57" s="4" t="str">
        <f t="shared" si="213"/>
        <v/>
      </c>
      <c r="PN57" s="4" t="str">
        <f t="shared" si="214"/>
        <v/>
      </c>
      <c r="PO57" s="4" t="str">
        <f t="shared" si="215"/>
        <v/>
      </c>
      <c r="PP57" s="4" t="str">
        <f t="shared" si="216"/>
        <v/>
      </c>
      <c r="PQ57" s="4" t="str">
        <f t="shared" si="217"/>
        <v/>
      </c>
      <c r="PR57" s="4" t="str">
        <f t="shared" si="218"/>
        <v/>
      </c>
      <c r="PS57" s="4" t="str">
        <f t="shared" si="219"/>
        <v/>
      </c>
    </row>
    <row r="58">
      <c r="HI58" s="4" t="str">
        <f t="shared" si="2"/>
        <v/>
      </c>
      <c r="HJ58" s="4" t="str">
        <f t="shared" si="3"/>
        <v/>
      </c>
      <c r="HK58" s="4" t="str">
        <f t="shared" si="4"/>
        <v/>
      </c>
      <c r="HL58" s="4" t="str">
        <f t="shared" si="5"/>
        <v/>
      </c>
      <c r="HM58" s="4" t="str">
        <f t="shared" si="6"/>
        <v/>
      </c>
      <c r="HN58" s="4" t="str">
        <f t="shared" si="7"/>
        <v/>
      </c>
      <c r="HO58" s="4" t="str">
        <f t="shared" si="8"/>
        <v/>
      </c>
      <c r="HP58" s="4" t="str">
        <f t="shared" si="9"/>
        <v/>
      </c>
      <c r="HQ58" s="4" t="str">
        <f t="shared" si="10"/>
        <v/>
      </c>
      <c r="HR58" s="4" t="str">
        <f t="shared" si="11"/>
        <v/>
      </c>
      <c r="HS58" s="4" t="str">
        <f t="shared" si="12"/>
        <v/>
      </c>
      <c r="HT58" s="4" t="str">
        <f t="shared" si="13"/>
        <v/>
      </c>
      <c r="HU58" s="4" t="str">
        <f t="shared" si="14"/>
        <v/>
      </c>
      <c r="HV58" s="4" t="str">
        <f t="shared" si="15"/>
        <v/>
      </c>
      <c r="HW58" s="4" t="str">
        <f t="shared" si="16"/>
        <v/>
      </c>
      <c r="HX58" s="4" t="str">
        <f t="shared" si="17"/>
        <v/>
      </c>
      <c r="HY58" s="4" t="str">
        <f t="shared" si="18"/>
        <v/>
      </c>
      <c r="HZ58" s="4" t="str">
        <f t="shared" si="19"/>
        <v/>
      </c>
      <c r="IA58" s="4" t="str">
        <f t="shared" si="20"/>
        <v/>
      </c>
      <c r="IB58" s="4" t="str">
        <f t="shared" si="21"/>
        <v/>
      </c>
      <c r="IC58" s="4" t="str">
        <f t="shared" si="22"/>
        <v/>
      </c>
      <c r="ID58" s="4" t="str">
        <f t="shared" si="23"/>
        <v/>
      </c>
      <c r="IE58" s="4" t="str">
        <f t="shared" si="24"/>
        <v/>
      </c>
      <c r="IF58" s="4" t="str">
        <f t="shared" si="25"/>
        <v/>
      </c>
      <c r="IG58" s="4" t="str">
        <f t="shared" si="26"/>
        <v/>
      </c>
      <c r="IH58" s="4" t="str">
        <f t="shared" si="27"/>
        <v/>
      </c>
      <c r="II58" s="4" t="str">
        <f t="shared" si="28"/>
        <v/>
      </c>
      <c r="IJ58" s="4" t="str">
        <f t="shared" si="29"/>
        <v/>
      </c>
      <c r="IK58" s="4" t="str">
        <f t="shared" si="30"/>
        <v/>
      </c>
      <c r="IL58" s="4" t="str">
        <f t="shared" si="31"/>
        <v/>
      </c>
      <c r="IM58" s="4" t="str">
        <f t="shared" si="32"/>
        <v/>
      </c>
      <c r="IN58" s="4" t="str">
        <f t="shared" si="33"/>
        <v/>
      </c>
      <c r="IO58" s="4" t="str">
        <f t="shared" si="34"/>
        <v/>
      </c>
      <c r="IP58" s="4" t="str">
        <f t="shared" si="35"/>
        <v/>
      </c>
      <c r="IQ58" s="4" t="str">
        <f t="shared" si="36"/>
        <v/>
      </c>
      <c r="IR58" s="4" t="str">
        <f t="shared" si="37"/>
        <v/>
      </c>
      <c r="IS58" s="4" t="str">
        <f t="shared" si="38"/>
        <v/>
      </c>
      <c r="IT58" s="4" t="str">
        <f t="shared" si="39"/>
        <v/>
      </c>
      <c r="IU58" s="4" t="str">
        <f t="shared" si="40"/>
        <v/>
      </c>
      <c r="IV58" s="4" t="str">
        <f t="shared" si="41"/>
        <v/>
      </c>
      <c r="IW58" s="4" t="str">
        <f t="shared" si="42"/>
        <v/>
      </c>
      <c r="IX58" s="4" t="str">
        <f t="shared" si="43"/>
        <v/>
      </c>
      <c r="IY58" s="4" t="str">
        <f t="shared" si="44"/>
        <v/>
      </c>
      <c r="IZ58" s="4" t="str">
        <f t="shared" si="45"/>
        <v/>
      </c>
      <c r="JA58" s="4" t="str">
        <f t="shared" ref="JA58:JB58" si="274">if(ISERROR(SEARCH("Higher Education",BB58)),"","810")</f>
        <v/>
      </c>
      <c r="JB58" s="4" t="str">
        <f t="shared" si="274"/>
        <v/>
      </c>
      <c r="JC58" s="4" t="str">
        <f t="shared" si="47"/>
        <v/>
      </c>
      <c r="JD58" s="4" t="str">
        <f t="shared" si="48"/>
        <v/>
      </c>
      <c r="JE58" s="4" t="str">
        <f t="shared" si="49"/>
        <v/>
      </c>
      <c r="JF58" s="4" t="str">
        <f t="shared" si="50"/>
        <v/>
      </c>
      <c r="JG58" s="4" t="str">
        <f t="shared" si="51"/>
        <v/>
      </c>
      <c r="JH58" s="4" t="str">
        <f t="shared" si="52"/>
        <v/>
      </c>
      <c r="JI58" s="4" t="str">
        <f t="shared" si="53"/>
        <v/>
      </c>
      <c r="JJ58" s="4" t="str">
        <f t="shared" si="54"/>
        <v/>
      </c>
      <c r="JK58" s="4" t="str">
        <f t="shared" si="55"/>
        <v/>
      </c>
      <c r="JL58" s="4" t="str">
        <f t="shared" si="56"/>
        <v/>
      </c>
      <c r="JM58" s="4" t="str">
        <f t="shared" si="57"/>
        <v/>
      </c>
      <c r="JN58" s="4" t="str">
        <f t="shared" si="58"/>
        <v/>
      </c>
      <c r="JO58" s="4" t="str">
        <f t="shared" si="59"/>
        <v/>
      </c>
      <c r="JP58" s="4" t="str">
        <f t="shared" si="60"/>
        <v/>
      </c>
      <c r="JQ58" s="4" t="str">
        <f t="shared" si="61"/>
        <v/>
      </c>
      <c r="JR58" s="4" t="str">
        <f t="shared" si="62"/>
        <v/>
      </c>
      <c r="JS58" s="4" t="str">
        <f t="shared" si="63"/>
        <v/>
      </c>
      <c r="JT58" s="4" t="str">
        <f t="shared" si="64"/>
        <v/>
      </c>
      <c r="JU58" s="4" t="str">
        <f t="shared" si="65"/>
        <v/>
      </c>
      <c r="JV58" s="4" t="str">
        <f t="shared" si="66"/>
        <v/>
      </c>
      <c r="JW58" s="4" t="str">
        <f t="shared" si="67"/>
        <v/>
      </c>
      <c r="JX58" s="4" t="str">
        <f t="shared" si="68"/>
        <v/>
      </c>
      <c r="JY58" s="4" t="str">
        <f t="shared" si="69"/>
        <v/>
      </c>
      <c r="JZ58" s="4" t="str">
        <f t="shared" si="70"/>
        <v/>
      </c>
      <c r="KA58" s="4" t="str">
        <f t="shared" si="71"/>
        <v/>
      </c>
      <c r="KB58" s="4" t="str">
        <f t="shared" si="72"/>
        <v/>
      </c>
      <c r="KC58" s="4" t="str">
        <f t="shared" si="73"/>
        <v/>
      </c>
      <c r="KD58" s="4" t="str">
        <f t="shared" si="74"/>
        <v/>
      </c>
      <c r="KE58" s="4" t="str">
        <f t="shared" si="75"/>
        <v/>
      </c>
      <c r="KF58" s="4" t="str">
        <f t="shared" si="76"/>
        <v/>
      </c>
      <c r="KG58" s="4" t="str">
        <f t="shared" si="77"/>
        <v/>
      </c>
      <c r="KH58" s="4" t="str">
        <f t="shared" si="78"/>
        <v/>
      </c>
      <c r="KI58" s="4" t="str">
        <f t="shared" si="79"/>
        <v/>
      </c>
      <c r="KJ58" s="4" t="str">
        <f t="shared" si="80"/>
        <v/>
      </c>
      <c r="KK58" s="4" t="str">
        <f t="shared" si="81"/>
        <v/>
      </c>
      <c r="KL58" s="4" t="str">
        <f t="shared" si="82"/>
        <v/>
      </c>
      <c r="KM58" s="4" t="str">
        <f t="shared" si="83"/>
        <v/>
      </c>
      <c r="KN58" s="4" t="str">
        <f t="shared" si="84"/>
        <v/>
      </c>
      <c r="KO58" s="4" t="str">
        <f t="shared" si="85"/>
        <v/>
      </c>
      <c r="KP58" s="4" t="str">
        <f t="shared" si="86"/>
        <v/>
      </c>
      <c r="KQ58" s="4" t="str">
        <f t="shared" si="87"/>
        <v/>
      </c>
      <c r="KR58" s="4" t="str">
        <f t="shared" si="88"/>
        <v/>
      </c>
      <c r="KS58" s="4" t="str">
        <f t="shared" si="89"/>
        <v/>
      </c>
      <c r="KT58" s="4" t="str">
        <f t="shared" si="90"/>
        <v/>
      </c>
      <c r="KU58" s="4" t="str">
        <f t="shared" si="91"/>
        <v/>
      </c>
      <c r="KV58" s="4" t="str">
        <f t="shared" si="92"/>
        <v/>
      </c>
      <c r="KW58" s="4" t="str">
        <f t="shared" si="93"/>
        <v/>
      </c>
      <c r="KX58" s="4" t="str">
        <f t="shared" si="94"/>
        <v/>
      </c>
      <c r="KY58" s="4" t="str">
        <f t="shared" si="95"/>
        <v/>
      </c>
      <c r="KZ58" s="4" t="str">
        <f t="shared" si="96"/>
        <v/>
      </c>
      <c r="LA58" s="4" t="str">
        <f t="shared" si="97"/>
        <v/>
      </c>
      <c r="LB58" s="4" t="str">
        <f t="shared" si="98"/>
        <v/>
      </c>
      <c r="LC58" s="4" t="str">
        <f t="shared" si="99"/>
        <v/>
      </c>
      <c r="LD58" s="4" t="str">
        <f t="shared" si="100"/>
        <v/>
      </c>
      <c r="LE58" s="4" t="str">
        <f t="shared" si="101"/>
        <v/>
      </c>
      <c r="LF58" s="4" t="str">
        <f t="shared" si="102"/>
        <v/>
      </c>
      <c r="LG58" s="4" t="str">
        <f t="shared" si="103"/>
        <v/>
      </c>
      <c r="LH58" s="4" t="str">
        <f t="shared" si="104"/>
        <v/>
      </c>
      <c r="LI58" s="4" t="str">
        <f t="shared" si="105"/>
        <v/>
      </c>
      <c r="LJ58" s="4" t="str">
        <f t="shared" si="106"/>
        <v/>
      </c>
      <c r="LK58" s="4" t="str">
        <f t="shared" si="107"/>
        <v/>
      </c>
      <c r="LL58" s="4" t="str">
        <f t="shared" si="108"/>
        <v/>
      </c>
      <c r="LM58" s="4" t="str">
        <f t="shared" si="109"/>
        <v/>
      </c>
      <c r="LN58" s="4" t="str">
        <f t="shared" si="110"/>
        <v/>
      </c>
      <c r="LO58" s="4" t="str">
        <f t="shared" si="111"/>
        <v/>
      </c>
      <c r="LP58" s="4" t="str">
        <f t="shared" si="112"/>
        <v/>
      </c>
      <c r="LQ58" s="4" t="str">
        <f t="shared" si="113"/>
        <v/>
      </c>
      <c r="LR58" s="4" t="str">
        <f t="shared" si="114"/>
        <v/>
      </c>
      <c r="LS58" s="4" t="str">
        <f t="shared" si="115"/>
        <v/>
      </c>
      <c r="LT58" s="4" t="str">
        <f t="shared" si="116"/>
        <v/>
      </c>
      <c r="LU58" s="4" t="str">
        <f t="shared" si="117"/>
        <v/>
      </c>
      <c r="LV58" s="4" t="str">
        <f t="shared" si="118"/>
        <v/>
      </c>
      <c r="LW58" s="4" t="str">
        <f t="shared" si="119"/>
        <v/>
      </c>
      <c r="LX58" s="4" t="str">
        <f t="shared" si="120"/>
        <v/>
      </c>
      <c r="LY58" s="4" t="str">
        <f t="shared" si="121"/>
        <v/>
      </c>
      <c r="LZ58" s="4" t="str">
        <f t="shared" si="122"/>
        <v/>
      </c>
      <c r="MA58" s="4" t="str">
        <f t="shared" si="123"/>
        <v/>
      </c>
      <c r="MB58" s="4" t="str">
        <f t="shared" si="124"/>
        <v/>
      </c>
      <c r="MC58" s="4" t="str">
        <f t="shared" si="125"/>
        <v/>
      </c>
      <c r="MD58" s="4" t="str">
        <f t="shared" si="126"/>
        <v/>
      </c>
      <c r="ME58" s="4" t="str">
        <f t="shared" si="127"/>
        <v/>
      </c>
      <c r="MF58" s="4" t="str">
        <f t="shared" si="128"/>
        <v/>
      </c>
      <c r="MG58" s="4" t="str">
        <f t="shared" si="129"/>
        <v/>
      </c>
      <c r="MH58" s="4" t="str">
        <f t="shared" si="130"/>
        <v/>
      </c>
      <c r="MI58" s="4" t="str">
        <f t="shared" si="131"/>
        <v/>
      </c>
      <c r="MJ58" s="4" t="str">
        <f t="shared" si="132"/>
        <v/>
      </c>
      <c r="MK58" s="4" t="str">
        <f t="shared" si="133"/>
        <v/>
      </c>
      <c r="ML58" s="4" t="str">
        <f t="shared" si="134"/>
        <v/>
      </c>
      <c r="MM58" s="4" t="str">
        <f t="shared" si="135"/>
        <v/>
      </c>
      <c r="MN58" s="4" t="str">
        <f t="shared" si="136"/>
        <v/>
      </c>
      <c r="MO58" s="4" t="str">
        <f t="shared" si="137"/>
        <v/>
      </c>
      <c r="MP58" s="4" t="str">
        <f t="shared" si="138"/>
        <v/>
      </c>
      <c r="MQ58" s="4" t="str">
        <f t="shared" si="139"/>
        <v/>
      </c>
      <c r="MR58" s="4" t="str">
        <f t="shared" si="140"/>
        <v/>
      </c>
      <c r="MS58" s="4" t="str">
        <f t="shared" si="141"/>
        <v/>
      </c>
      <c r="MT58" s="4" t="str">
        <f t="shared" si="142"/>
        <v/>
      </c>
      <c r="MU58" s="4" t="str">
        <f t="shared" si="143"/>
        <v/>
      </c>
      <c r="MV58" s="4" t="str">
        <f t="shared" si="144"/>
        <v/>
      </c>
      <c r="MW58" s="4" t="str">
        <f t="shared" si="145"/>
        <v/>
      </c>
      <c r="MX58" s="4" t="str">
        <f t="shared" si="146"/>
        <v/>
      </c>
      <c r="MY58" s="4" t="str">
        <f t="shared" si="147"/>
        <v/>
      </c>
      <c r="MZ58" s="4" t="str">
        <f t="shared" si="148"/>
        <v/>
      </c>
      <c r="NA58" s="4" t="str">
        <f t="shared" si="149"/>
        <v/>
      </c>
      <c r="NB58" s="4" t="str">
        <f t="shared" si="150"/>
        <v/>
      </c>
      <c r="NC58" s="4" t="str">
        <f t="shared" si="151"/>
        <v/>
      </c>
      <c r="ND58" s="4" t="str">
        <f t="shared" si="152"/>
        <v/>
      </c>
      <c r="NE58" s="4" t="str">
        <f t="shared" si="153"/>
        <v/>
      </c>
      <c r="NF58" s="4" t="str">
        <f t="shared" si="154"/>
        <v/>
      </c>
      <c r="NG58" s="4" t="str">
        <f t="shared" si="155"/>
        <v/>
      </c>
      <c r="NH58" s="4" t="str">
        <f t="shared" si="156"/>
        <v/>
      </c>
      <c r="NI58" s="4" t="str">
        <f t="shared" si="157"/>
        <v/>
      </c>
      <c r="NJ58" s="4" t="str">
        <f t="shared" si="158"/>
        <v/>
      </c>
      <c r="NK58" s="4" t="str">
        <f t="shared" si="159"/>
        <v/>
      </c>
      <c r="NL58" s="4" t="str">
        <f t="shared" si="160"/>
        <v/>
      </c>
      <c r="NM58" s="4" t="str">
        <f t="shared" si="161"/>
        <v/>
      </c>
      <c r="NN58" s="4" t="str">
        <f t="shared" si="162"/>
        <v/>
      </c>
      <c r="NO58" s="4" t="str">
        <f t="shared" si="163"/>
        <v/>
      </c>
      <c r="NP58" s="4" t="str">
        <f t="shared" si="164"/>
        <v/>
      </c>
      <c r="NQ58" s="4" t="str">
        <f t="shared" si="165"/>
        <v/>
      </c>
      <c r="NR58" s="4" t="str">
        <f t="shared" si="166"/>
        <v/>
      </c>
      <c r="NS58" s="4" t="str">
        <f t="shared" si="167"/>
        <v/>
      </c>
      <c r="NT58" s="4" t="str">
        <f t="shared" si="168"/>
        <v/>
      </c>
      <c r="NU58" s="4" t="str">
        <f t="shared" si="169"/>
        <v/>
      </c>
      <c r="NV58" s="4" t="str">
        <f t="shared" si="170"/>
        <v/>
      </c>
      <c r="NW58" s="4" t="str">
        <f t="shared" si="171"/>
        <v/>
      </c>
      <c r="NX58" s="4" t="str">
        <f t="shared" si="172"/>
        <v/>
      </c>
      <c r="NY58" s="4" t="str">
        <f t="shared" si="173"/>
        <v/>
      </c>
      <c r="NZ58" s="4" t="str">
        <f t="shared" si="174"/>
        <v/>
      </c>
      <c r="OA58" s="4" t="str">
        <f t="shared" si="175"/>
        <v/>
      </c>
      <c r="OB58" s="4" t="str">
        <f t="shared" si="176"/>
        <v/>
      </c>
      <c r="OC58" s="4" t="str">
        <f t="shared" si="177"/>
        <v/>
      </c>
      <c r="OD58" s="4" t="str">
        <f t="shared" si="178"/>
        <v/>
      </c>
      <c r="OE58" s="4" t="str">
        <f t="shared" si="179"/>
        <v/>
      </c>
      <c r="OF58" s="4" t="str">
        <f t="shared" si="180"/>
        <v/>
      </c>
      <c r="OG58" s="4" t="str">
        <f t="shared" si="181"/>
        <v/>
      </c>
      <c r="OH58" s="4" t="str">
        <f t="shared" si="182"/>
        <v/>
      </c>
      <c r="OI58" s="4" t="str">
        <f t="shared" si="183"/>
        <v/>
      </c>
      <c r="OJ58" s="4" t="str">
        <f t="shared" si="184"/>
        <v/>
      </c>
      <c r="OK58" s="4" t="str">
        <f t="shared" si="185"/>
        <v/>
      </c>
      <c r="OL58" s="4" t="str">
        <f t="shared" si="186"/>
        <v/>
      </c>
      <c r="OM58" s="4" t="str">
        <f t="shared" si="187"/>
        <v/>
      </c>
      <c r="ON58" s="4" t="str">
        <f t="shared" si="188"/>
        <v/>
      </c>
      <c r="OO58" s="4" t="str">
        <f t="shared" si="189"/>
        <v/>
      </c>
      <c r="OP58" s="4" t="str">
        <f t="shared" si="190"/>
        <v/>
      </c>
      <c r="OQ58" s="4" t="str">
        <f t="shared" si="191"/>
        <v/>
      </c>
      <c r="OR58" s="4" t="str">
        <f t="shared" si="192"/>
        <v/>
      </c>
      <c r="OS58" s="4" t="str">
        <f t="shared" si="193"/>
        <v/>
      </c>
      <c r="OT58" s="4" t="str">
        <f t="shared" si="194"/>
        <v/>
      </c>
      <c r="OU58" s="4" t="str">
        <f t="shared" si="195"/>
        <v/>
      </c>
      <c r="OV58" s="4" t="str">
        <f t="shared" si="196"/>
        <v/>
      </c>
      <c r="OW58" s="4" t="str">
        <f t="shared" si="197"/>
        <v/>
      </c>
      <c r="OX58" s="4" t="str">
        <f t="shared" si="198"/>
        <v/>
      </c>
      <c r="OY58" s="4" t="str">
        <f t="shared" si="199"/>
        <v/>
      </c>
      <c r="OZ58" s="4" t="str">
        <f t="shared" si="200"/>
        <v/>
      </c>
      <c r="PA58" s="4" t="str">
        <f t="shared" si="201"/>
        <v/>
      </c>
      <c r="PB58" s="4" t="str">
        <f t="shared" si="202"/>
        <v/>
      </c>
      <c r="PC58" s="4" t="str">
        <f t="shared" si="203"/>
        <v/>
      </c>
      <c r="PD58" s="4" t="str">
        <f t="shared" si="204"/>
        <v/>
      </c>
      <c r="PE58" s="4" t="str">
        <f t="shared" si="205"/>
        <v/>
      </c>
      <c r="PF58" s="4" t="str">
        <f t="shared" si="206"/>
        <v/>
      </c>
      <c r="PG58" s="4" t="str">
        <f t="shared" si="207"/>
        <v/>
      </c>
      <c r="PH58" s="4" t="str">
        <f t="shared" si="208"/>
        <v/>
      </c>
      <c r="PI58" s="4" t="str">
        <f t="shared" si="209"/>
        <v/>
      </c>
      <c r="PJ58" s="4" t="str">
        <f t="shared" si="210"/>
        <v/>
      </c>
      <c r="PK58" s="4" t="str">
        <f t="shared" si="211"/>
        <v/>
      </c>
      <c r="PL58" s="4" t="str">
        <f t="shared" si="212"/>
        <v/>
      </c>
      <c r="PM58" s="4" t="str">
        <f t="shared" si="213"/>
        <v/>
      </c>
      <c r="PN58" s="4" t="str">
        <f t="shared" si="214"/>
        <v/>
      </c>
      <c r="PO58" s="4" t="str">
        <f t="shared" si="215"/>
        <v/>
      </c>
      <c r="PP58" s="4" t="str">
        <f t="shared" si="216"/>
        <v/>
      </c>
      <c r="PQ58" s="4" t="str">
        <f t="shared" si="217"/>
        <v/>
      </c>
      <c r="PR58" s="4" t="str">
        <f t="shared" si="218"/>
        <v/>
      </c>
      <c r="PS58" s="4" t="str">
        <f t="shared" si="219"/>
        <v/>
      </c>
    </row>
    <row r="59">
      <c r="HI59" s="4" t="str">
        <f t="shared" si="2"/>
        <v/>
      </c>
      <c r="HJ59" s="4" t="str">
        <f t="shared" si="3"/>
        <v/>
      </c>
      <c r="HK59" s="4" t="str">
        <f t="shared" si="4"/>
        <v/>
      </c>
      <c r="HL59" s="4" t="str">
        <f t="shared" si="5"/>
        <v/>
      </c>
      <c r="HM59" s="4" t="str">
        <f t="shared" si="6"/>
        <v/>
      </c>
      <c r="HN59" s="4" t="str">
        <f t="shared" si="7"/>
        <v/>
      </c>
      <c r="HO59" s="4" t="str">
        <f t="shared" si="8"/>
        <v/>
      </c>
      <c r="HP59" s="4" t="str">
        <f t="shared" si="9"/>
        <v/>
      </c>
      <c r="HQ59" s="4" t="str">
        <f t="shared" si="10"/>
        <v/>
      </c>
      <c r="HR59" s="4" t="str">
        <f t="shared" si="11"/>
        <v/>
      </c>
      <c r="HS59" s="4" t="str">
        <f t="shared" si="12"/>
        <v/>
      </c>
      <c r="HT59" s="4" t="str">
        <f t="shared" si="13"/>
        <v/>
      </c>
      <c r="HU59" s="4" t="str">
        <f t="shared" si="14"/>
        <v/>
      </c>
      <c r="HV59" s="4" t="str">
        <f t="shared" si="15"/>
        <v/>
      </c>
      <c r="HW59" s="4" t="str">
        <f t="shared" si="16"/>
        <v/>
      </c>
      <c r="HX59" s="4" t="str">
        <f t="shared" si="17"/>
        <v/>
      </c>
      <c r="HY59" s="4" t="str">
        <f t="shared" si="18"/>
        <v/>
      </c>
      <c r="HZ59" s="4" t="str">
        <f t="shared" si="19"/>
        <v/>
      </c>
      <c r="IA59" s="4" t="str">
        <f t="shared" si="20"/>
        <v/>
      </c>
      <c r="IB59" s="4" t="str">
        <f t="shared" si="21"/>
        <v/>
      </c>
      <c r="IC59" s="4" t="str">
        <f t="shared" si="22"/>
        <v/>
      </c>
      <c r="ID59" s="4" t="str">
        <f t="shared" si="23"/>
        <v/>
      </c>
      <c r="IE59" s="4" t="str">
        <f t="shared" si="24"/>
        <v/>
      </c>
      <c r="IF59" s="4" t="str">
        <f t="shared" si="25"/>
        <v/>
      </c>
      <c r="IG59" s="4" t="str">
        <f t="shared" si="26"/>
        <v/>
      </c>
      <c r="IH59" s="4" t="str">
        <f t="shared" si="27"/>
        <v/>
      </c>
      <c r="II59" s="4" t="str">
        <f t="shared" si="28"/>
        <v/>
      </c>
      <c r="IJ59" s="4" t="str">
        <f t="shared" si="29"/>
        <v/>
      </c>
      <c r="IK59" s="4" t="str">
        <f t="shared" si="30"/>
        <v/>
      </c>
      <c r="IL59" s="4" t="str">
        <f t="shared" si="31"/>
        <v/>
      </c>
      <c r="IM59" s="4" t="str">
        <f t="shared" si="32"/>
        <v/>
      </c>
      <c r="IN59" s="4" t="str">
        <f t="shared" si="33"/>
        <v/>
      </c>
      <c r="IO59" s="4" t="str">
        <f t="shared" si="34"/>
        <v/>
      </c>
      <c r="IP59" s="4" t="str">
        <f t="shared" si="35"/>
        <v/>
      </c>
      <c r="IQ59" s="4" t="str">
        <f t="shared" si="36"/>
        <v/>
      </c>
      <c r="IR59" s="4" t="str">
        <f t="shared" si="37"/>
        <v/>
      </c>
      <c r="IS59" s="4" t="str">
        <f t="shared" si="38"/>
        <v/>
      </c>
      <c r="IT59" s="4" t="str">
        <f t="shared" si="39"/>
        <v/>
      </c>
      <c r="IU59" s="4" t="str">
        <f t="shared" si="40"/>
        <v/>
      </c>
      <c r="IV59" s="4" t="str">
        <f t="shared" si="41"/>
        <v/>
      </c>
      <c r="IW59" s="4" t="str">
        <f t="shared" si="42"/>
        <v/>
      </c>
      <c r="IX59" s="4" t="str">
        <f t="shared" si="43"/>
        <v/>
      </c>
      <c r="IY59" s="4" t="str">
        <f t="shared" si="44"/>
        <v/>
      </c>
      <c r="IZ59" s="4" t="str">
        <f t="shared" si="45"/>
        <v/>
      </c>
      <c r="JA59" s="4" t="str">
        <f t="shared" ref="JA59:JB59" si="275">if(ISERROR(SEARCH("Higher Education",BB59)),"","810")</f>
        <v/>
      </c>
      <c r="JB59" s="4" t="str">
        <f t="shared" si="275"/>
        <v/>
      </c>
      <c r="JC59" s="4" t="str">
        <f t="shared" si="47"/>
        <v/>
      </c>
      <c r="JD59" s="4" t="str">
        <f t="shared" si="48"/>
        <v/>
      </c>
      <c r="JE59" s="4" t="str">
        <f t="shared" si="49"/>
        <v/>
      </c>
      <c r="JF59" s="4" t="str">
        <f t="shared" si="50"/>
        <v/>
      </c>
      <c r="JG59" s="4" t="str">
        <f t="shared" si="51"/>
        <v/>
      </c>
      <c r="JH59" s="4" t="str">
        <f t="shared" si="52"/>
        <v/>
      </c>
      <c r="JI59" s="4" t="str">
        <f t="shared" si="53"/>
        <v/>
      </c>
      <c r="JJ59" s="4" t="str">
        <f t="shared" si="54"/>
        <v/>
      </c>
      <c r="JK59" s="4" t="str">
        <f t="shared" si="55"/>
        <v/>
      </c>
      <c r="JL59" s="4" t="str">
        <f t="shared" si="56"/>
        <v/>
      </c>
      <c r="JM59" s="4" t="str">
        <f t="shared" si="57"/>
        <v/>
      </c>
      <c r="JN59" s="4" t="str">
        <f t="shared" si="58"/>
        <v/>
      </c>
      <c r="JO59" s="4" t="str">
        <f t="shared" si="59"/>
        <v/>
      </c>
      <c r="JP59" s="4" t="str">
        <f t="shared" si="60"/>
        <v/>
      </c>
      <c r="JQ59" s="4" t="str">
        <f t="shared" si="61"/>
        <v/>
      </c>
      <c r="JR59" s="4" t="str">
        <f t="shared" si="62"/>
        <v/>
      </c>
      <c r="JS59" s="4" t="str">
        <f t="shared" si="63"/>
        <v/>
      </c>
      <c r="JT59" s="4" t="str">
        <f t="shared" si="64"/>
        <v/>
      </c>
      <c r="JU59" s="4" t="str">
        <f t="shared" si="65"/>
        <v/>
      </c>
      <c r="JV59" s="4" t="str">
        <f t="shared" si="66"/>
        <v/>
      </c>
      <c r="JW59" s="4" t="str">
        <f t="shared" si="67"/>
        <v/>
      </c>
      <c r="JX59" s="4" t="str">
        <f t="shared" si="68"/>
        <v/>
      </c>
      <c r="JY59" s="4" t="str">
        <f t="shared" si="69"/>
        <v/>
      </c>
      <c r="JZ59" s="4" t="str">
        <f t="shared" si="70"/>
        <v/>
      </c>
      <c r="KA59" s="4" t="str">
        <f t="shared" si="71"/>
        <v/>
      </c>
      <c r="KB59" s="4" t="str">
        <f t="shared" si="72"/>
        <v/>
      </c>
      <c r="KC59" s="4" t="str">
        <f t="shared" si="73"/>
        <v/>
      </c>
      <c r="KD59" s="4" t="str">
        <f t="shared" si="74"/>
        <v/>
      </c>
      <c r="KE59" s="4" t="str">
        <f t="shared" si="75"/>
        <v/>
      </c>
      <c r="KF59" s="4" t="str">
        <f t="shared" si="76"/>
        <v/>
      </c>
      <c r="KG59" s="4" t="str">
        <f t="shared" si="77"/>
        <v/>
      </c>
      <c r="KH59" s="4" t="str">
        <f t="shared" si="78"/>
        <v/>
      </c>
      <c r="KI59" s="4" t="str">
        <f t="shared" si="79"/>
        <v/>
      </c>
      <c r="KJ59" s="4" t="str">
        <f t="shared" si="80"/>
        <v/>
      </c>
      <c r="KK59" s="4" t="str">
        <f t="shared" si="81"/>
        <v/>
      </c>
      <c r="KL59" s="4" t="str">
        <f t="shared" si="82"/>
        <v/>
      </c>
      <c r="KM59" s="4" t="str">
        <f t="shared" si="83"/>
        <v/>
      </c>
      <c r="KN59" s="4" t="str">
        <f t="shared" si="84"/>
        <v/>
      </c>
      <c r="KO59" s="4" t="str">
        <f t="shared" si="85"/>
        <v/>
      </c>
      <c r="KP59" s="4" t="str">
        <f t="shared" si="86"/>
        <v/>
      </c>
      <c r="KQ59" s="4" t="str">
        <f t="shared" si="87"/>
        <v/>
      </c>
      <c r="KR59" s="4" t="str">
        <f t="shared" si="88"/>
        <v/>
      </c>
      <c r="KS59" s="4" t="str">
        <f t="shared" si="89"/>
        <v/>
      </c>
      <c r="KT59" s="4" t="str">
        <f t="shared" si="90"/>
        <v/>
      </c>
      <c r="KU59" s="4" t="str">
        <f t="shared" si="91"/>
        <v/>
      </c>
      <c r="KV59" s="4" t="str">
        <f t="shared" si="92"/>
        <v/>
      </c>
      <c r="KW59" s="4" t="str">
        <f t="shared" si="93"/>
        <v/>
      </c>
      <c r="KX59" s="4" t="str">
        <f t="shared" si="94"/>
        <v/>
      </c>
      <c r="KY59" s="4" t="str">
        <f t="shared" si="95"/>
        <v/>
      </c>
      <c r="KZ59" s="4" t="str">
        <f t="shared" si="96"/>
        <v/>
      </c>
      <c r="LA59" s="4" t="str">
        <f t="shared" si="97"/>
        <v/>
      </c>
      <c r="LB59" s="4" t="str">
        <f t="shared" si="98"/>
        <v/>
      </c>
      <c r="LC59" s="4" t="str">
        <f t="shared" si="99"/>
        <v/>
      </c>
      <c r="LD59" s="4" t="str">
        <f t="shared" si="100"/>
        <v/>
      </c>
      <c r="LE59" s="4" t="str">
        <f t="shared" si="101"/>
        <v/>
      </c>
      <c r="LF59" s="4" t="str">
        <f t="shared" si="102"/>
        <v/>
      </c>
      <c r="LG59" s="4" t="str">
        <f t="shared" si="103"/>
        <v/>
      </c>
      <c r="LH59" s="4" t="str">
        <f t="shared" si="104"/>
        <v/>
      </c>
      <c r="LI59" s="4" t="str">
        <f t="shared" si="105"/>
        <v/>
      </c>
      <c r="LJ59" s="4" t="str">
        <f t="shared" si="106"/>
        <v/>
      </c>
      <c r="LK59" s="4" t="str">
        <f t="shared" si="107"/>
        <v/>
      </c>
      <c r="LL59" s="4" t="str">
        <f t="shared" si="108"/>
        <v/>
      </c>
      <c r="LM59" s="4" t="str">
        <f t="shared" si="109"/>
        <v/>
      </c>
      <c r="LN59" s="4" t="str">
        <f t="shared" si="110"/>
        <v/>
      </c>
      <c r="LO59" s="4" t="str">
        <f t="shared" si="111"/>
        <v/>
      </c>
      <c r="LP59" s="4" t="str">
        <f t="shared" si="112"/>
        <v/>
      </c>
      <c r="LQ59" s="4" t="str">
        <f t="shared" si="113"/>
        <v/>
      </c>
      <c r="LR59" s="4" t="str">
        <f t="shared" si="114"/>
        <v/>
      </c>
      <c r="LS59" s="4" t="str">
        <f t="shared" si="115"/>
        <v/>
      </c>
      <c r="LT59" s="4" t="str">
        <f t="shared" si="116"/>
        <v/>
      </c>
      <c r="LU59" s="4" t="str">
        <f t="shared" si="117"/>
        <v/>
      </c>
      <c r="LV59" s="4" t="str">
        <f t="shared" si="118"/>
        <v/>
      </c>
      <c r="LW59" s="4" t="str">
        <f t="shared" si="119"/>
        <v/>
      </c>
      <c r="LX59" s="4" t="str">
        <f t="shared" si="120"/>
        <v/>
      </c>
      <c r="LY59" s="4" t="str">
        <f t="shared" si="121"/>
        <v/>
      </c>
      <c r="LZ59" s="4" t="str">
        <f t="shared" si="122"/>
        <v/>
      </c>
      <c r="MA59" s="4" t="str">
        <f t="shared" si="123"/>
        <v/>
      </c>
      <c r="MB59" s="4" t="str">
        <f t="shared" si="124"/>
        <v/>
      </c>
      <c r="MC59" s="4" t="str">
        <f t="shared" si="125"/>
        <v/>
      </c>
      <c r="MD59" s="4" t="str">
        <f t="shared" si="126"/>
        <v/>
      </c>
      <c r="ME59" s="4" t="str">
        <f t="shared" si="127"/>
        <v/>
      </c>
      <c r="MF59" s="4" t="str">
        <f t="shared" si="128"/>
        <v/>
      </c>
      <c r="MG59" s="4" t="str">
        <f t="shared" si="129"/>
        <v/>
      </c>
      <c r="MH59" s="4" t="str">
        <f t="shared" si="130"/>
        <v/>
      </c>
      <c r="MI59" s="4" t="str">
        <f t="shared" si="131"/>
        <v/>
      </c>
      <c r="MJ59" s="4" t="str">
        <f t="shared" si="132"/>
        <v/>
      </c>
      <c r="MK59" s="4" t="str">
        <f t="shared" si="133"/>
        <v/>
      </c>
      <c r="ML59" s="4" t="str">
        <f t="shared" si="134"/>
        <v/>
      </c>
      <c r="MM59" s="4" t="str">
        <f t="shared" si="135"/>
        <v/>
      </c>
      <c r="MN59" s="4" t="str">
        <f t="shared" si="136"/>
        <v/>
      </c>
      <c r="MO59" s="4" t="str">
        <f t="shared" si="137"/>
        <v/>
      </c>
      <c r="MP59" s="4" t="str">
        <f t="shared" si="138"/>
        <v/>
      </c>
      <c r="MQ59" s="4" t="str">
        <f t="shared" si="139"/>
        <v/>
      </c>
      <c r="MR59" s="4" t="str">
        <f t="shared" si="140"/>
        <v/>
      </c>
      <c r="MS59" s="4" t="str">
        <f t="shared" si="141"/>
        <v/>
      </c>
      <c r="MT59" s="4" t="str">
        <f t="shared" si="142"/>
        <v/>
      </c>
      <c r="MU59" s="4" t="str">
        <f t="shared" si="143"/>
        <v/>
      </c>
      <c r="MV59" s="4" t="str">
        <f t="shared" si="144"/>
        <v/>
      </c>
      <c r="MW59" s="4" t="str">
        <f t="shared" si="145"/>
        <v/>
      </c>
      <c r="MX59" s="4" t="str">
        <f t="shared" si="146"/>
        <v/>
      </c>
      <c r="MY59" s="4" t="str">
        <f t="shared" si="147"/>
        <v/>
      </c>
      <c r="MZ59" s="4" t="str">
        <f t="shared" si="148"/>
        <v/>
      </c>
      <c r="NA59" s="4" t="str">
        <f t="shared" si="149"/>
        <v/>
      </c>
      <c r="NB59" s="4" t="str">
        <f t="shared" si="150"/>
        <v/>
      </c>
      <c r="NC59" s="4" t="str">
        <f t="shared" si="151"/>
        <v/>
      </c>
      <c r="ND59" s="4" t="str">
        <f t="shared" si="152"/>
        <v/>
      </c>
      <c r="NE59" s="4" t="str">
        <f t="shared" si="153"/>
        <v/>
      </c>
      <c r="NF59" s="4" t="str">
        <f t="shared" si="154"/>
        <v/>
      </c>
      <c r="NG59" s="4" t="str">
        <f t="shared" si="155"/>
        <v/>
      </c>
      <c r="NH59" s="4" t="str">
        <f t="shared" si="156"/>
        <v/>
      </c>
      <c r="NI59" s="4" t="str">
        <f t="shared" si="157"/>
        <v/>
      </c>
      <c r="NJ59" s="4" t="str">
        <f t="shared" si="158"/>
        <v/>
      </c>
      <c r="NK59" s="4" t="str">
        <f t="shared" si="159"/>
        <v/>
      </c>
      <c r="NL59" s="4" t="str">
        <f t="shared" si="160"/>
        <v/>
      </c>
      <c r="NM59" s="4" t="str">
        <f t="shared" si="161"/>
        <v/>
      </c>
      <c r="NN59" s="4" t="str">
        <f t="shared" si="162"/>
        <v/>
      </c>
      <c r="NO59" s="4" t="str">
        <f t="shared" si="163"/>
        <v/>
      </c>
      <c r="NP59" s="4" t="str">
        <f t="shared" si="164"/>
        <v/>
      </c>
      <c r="NQ59" s="4" t="str">
        <f t="shared" si="165"/>
        <v/>
      </c>
      <c r="NR59" s="4" t="str">
        <f t="shared" si="166"/>
        <v/>
      </c>
      <c r="NS59" s="4" t="str">
        <f t="shared" si="167"/>
        <v/>
      </c>
      <c r="NT59" s="4" t="str">
        <f t="shared" si="168"/>
        <v/>
      </c>
      <c r="NU59" s="4" t="str">
        <f t="shared" si="169"/>
        <v/>
      </c>
      <c r="NV59" s="4" t="str">
        <f t="shared" si="170"/>
        <v/>
      </c>
      <c r="NW59" s="4" t="str">
        <f t="shared" si="171"/>
        <v/>
      </c>
      <c r="NX59" s="4" t="str">
        <f t="shared" si="172"/>
        <v/>
      </c>
      <c r="NY59" s="4" t="str">
        <f t="shared" si="173"/>
        <v/>
      </c>
      <c r="NZ59" s="4" t="str">
        <f t="shared" si="174"/>
        <v/>
      </c>
      <c r="OA59" s="4" t="str">
        <f t="shared" si="175"/>
        <v/>
      </c>
      <c r="OB59" s="4" t="str">
        <f t="shared" si="176"/>
        <v/>
      </c>
      <c r="OC59" s="4" t="str">
        <f t="shared" si="177"/>
        <v/>
      </c>
      <c r="OD59" s="4" t="str">
        <f t="shared" si="178"/>
        <v/>
      </c>
      <c r="OE59" s="4" t="str">
        <f t="shared" si="179"/>
        <v/>
      </c>
      <c r="OF59" s="4" t="str">
        <f t="shared" si="180"/>
        <v/>
      </c>
      <c r="OG59" s="4" t="str">
        <f t="shared" si="181"/>
        <v/>
      </c>
      <c r="OH59" s="4" t="str">
        <f t="shared" si="182"/>
        <v/>
      </c>
      <c r="OI59" s="4" t="str">
        <f t="shared" si="183"/>
        <v/>
      </c>
      <c r="OJ59" s="4" t="str">
        <f t="shared" si="184"/>
        <v/>
      </c>
      <c r="OK59" s="4" t="str">
        <f t="shared" si="185"/>
        <v/>
      </c>
      <c r="OL59" s="4" t="str">
        <f t="shared" si="186"/>
        <v/>
      </c>
      <c r="OM59" s="4" t="str">
        <f t="shared" si="187"/>
        <v/>
      </c>
      <c r="ON59" s="4" t="str">
        <f t="shared" si="188"/>
        <v/>
      </c>
      <c r="OO59" s="4" t="str">
        <f t="shared" si="189"/>
        <v/>
      </c>
      <c r="OP59" s="4" t="str">
        <f t="shared" si="190"/>
        <v/>
      </c>
      <c r="OQ59" s="4" t="str">
        <f t="shared" si="191"/>
        <v/>
      </c>
      <c r="OR59" s="4" t="str">
        <f t="shared" si="192"/>
        <v/>
      </c>
      <c r="OS59" s="4" t="str">
        <f t="shared" si="193"/>
        <v/>
      </c>
      <c r="OT59" s="4" t="str">
        <f t="shared" si="194"/>
        <v/>
      </c>
      <c r="OU59" s="4" t="str">
        <f t="shared" si="195"/>
        <v/>
      </c>
      <c r="OV59" s="4" t="str">
        <f t="shared" si="196"/>
        <v/>
      </c>
      <c r="OW59" s="4" t="str">
        <f t="shared" si="197"/>
        <v/>
      </c>
      <c r="OX59" s="4" t="str">
        <f t="shared" si="198"/>
        <v/>
      </c>
      <c r="OY59" s="4" t="str">
        <f t="shared" si="199"/>
        <v/>
      </c>
      <c r="OZ59" s="4" t="str">
        <f t="shared" si="200"/>
        <v/>
      </c>
      <c r="PA59" s="4" t="str">
        <f t="shared" si="201"/>
        <v/>
      </c>
      <c r="PB59" s="4" t="str">
        <f t="shared" si="202"/>
        <v/>
      </c>
      <c r="PC59" s="4" t="str">
        <f t="shared" si="203"/>
        <v/>
      </c>
      <c r="PD59" s="4" t="str">
        <f t="shared" si="204"/>
        <v/>
      </c>
      <c r="PE59" s="4" t="str">
        <f t="shared" si="205"/>
        <v/>
      </c>
      <c r="PF59" s="4" t="str">
        <f t="shared" si="206"/>
        <v/>
      </c>
      <c r="PG59" s="4" t="str">
        <f t="shared" si="207"/>
        <v/>
      </c>
      <c r="PH59" s="4" t="str">
        <f t="shared" si="208"/>
        <v/>
      </c>
      <c r="PI59" s="4" t="str">
        <f t="shared" si="209"/>
        <v/>
      </c>
      <c r="PJ59" s="4" t="str">
        <f t="shared" si="210"/>
        <v/>
      </c>
      <c r="PK59" s="4" t="str">
        <f t="shared" si="211"/>
        <v/>
      </c>
      <c r="PL59" s="4" t="str">
        <f t="shared" si="212"/>
        <v/>
      </c>
      <c r="PM59" s="4" t="str">
        <f t="shared" si="213"/>
        <v/>
      </c>
      <c r="PN59" s="4" t="str">
        <f t="shared" si="214"/>
        <v/>
      </c>
      <c r="PO59" s="4" t="str">
        <f t="shared" si="215"/>
        <v/>
      </c>
      <c r="PP59" s="4" t="str">
        <f t="shared" si="216"/>
        <v/>
      </c>
      <c r="PQ59" s="4" t="str">
        <f t="shared" si="217"/>
        <v/>
      </c>
      <c r="PR59" s="4" t="str">
        <f t="shared" si="218"/>
        <v/>
      </c>
      <c r="PS59" s="4" t="str">
        <f t="shared" si="219"/>
        <v/>
      </c>
    </row>
    <row r="60">
      <c r="HI60" s="4" t="str">
        <f t="shared" si="2"/>
        <v/>
      </c>
      <c r="HJ60" s="4" t="str">
        <f t="shared" si="3"/>
        <v/>
      </c>
      <c r="HK60" s="4" t="str">
        <f t="shared" si="4"/>
        <v/>
      </c>
      <c r="HL60" s="4" t="str">
        <f t="shared" si="5"/>
        <v/>
      </c>
      <c r="HM60" s="4" t="str">
        <f t="shared" si="6"/>
        <v/>
      </c>
      <c r="HN60" s="4" t="str">
        <f t="shared" si="7"/>
        <v/>
      </c>
      <c r="HO60" s="4" t="str">
        <f t="shared" si="8"/>
        <v/>
      </c>
      <c r="HP60" s="4" t="str">
        <f t="shared" si="9"/>
        <v/>
      </c>
      <c r="HQ60" s="4" t="str">
        <f t="shared" si="10"/>
        <v/>
      </c>
      <c r="HR60" s="4" t="str">
        <f t="shared" si="11"/>
        <v/>
      </c>
      <c r="HS60" s="4" t="str">
        <f t="shared" si="12"/>
        <v/>
      </c>
      <c r="HT60" s="4" t="str">
        <f t="shared" si="13"/>
        <v/>
      </c>
      <c r="HU60" s="4" t="str">
        <f t="shared" si="14"/>
        <v/>
      </c>
      <c r="HV60" s="4" t="str">
        <f t="shared" si="15"/>
        <v/>
      </c>
      <c r="HW60" s="4" t="str">
        <f t="shared" si="16"/>
        <v/>
      </c>
      <c r="HX60" s="4" t="str">
        <f t="shared" si="17"/>
        <v/>
      </c>
      <c r="HY60" s="4" t="str">
        <f t="shared" si="18"/>
        <v/>
      </c>
      <c r="HZ60" s="4" t="str">
        <f t="shared" si="19"/>
        <v/>
      </c>
      <c r="IA60" s="4" t="str">
        <f t="shared" si="20"/>
        <v/>
      </c>
      <c r="IB60" s="4" t="str">
        <f t="shared" si="21"/>
        <v/>
      </c>
      <c r="IC60" s="4" t="str">
        <f t="shared" si="22"/>
        <v/>
      </c>
      <c r="ID60" s="4" t="str">
        <f t="shared" si="23"/>
        <v/>
      </c>
      <c r="IE60" s="4" t="str">
        <f t="shared" si="24"/>
        <v/>
      </c>
      <c r="IF60" s="4" t="str">
        <f t="shared" si="25"/>
        <v/>
      </c>
      <c r="IG60" s="4" t="str">
        <f t="shared" si="26"/>
        <v/>
      </c>
      <c r="IH60" s="4" t="str">
        <f t="shared" si="27"/>
        <v/>
      </c>
      <c r="II60" s="4" t="str">
        <f t="shared" si="28"/>
        <v/>
      </c>
      <c r="IJ60" s="4" t="str">
        <f t="shared" si="29"/>
        <v/>
      </c>
      <c r="IK60" s="4" t="str">
        <f t="shared" si="30"/>
        <v/>
      </c>
      <c r="IL60" s="4" t="str">
        <f t="shared" si="31"/>
        <v/>
      </c>
      <c r="IM60" s="4" t="str">
        <f t="shared" si="32"/>
        <v/>
      </c>
      <c r="IN60" s="4" t="str">
        <f t="shared" si="33"/>
        <v/>
      </c>
      <c r="IO60" s="4" t="str">
        <f t="shared" si="34"/>
        <v/>
      </c>
      <c r="IP60" s="4" t="str">
        <f t="shared" si="35"/>
        <v/>
      </c>
      <c r="IQ60" s="4" t="str">
        <f t="shared" si="36"/>
        <v/>
      </c>
      <c r="IR60" s="4" t="str">
        <f t="shared" si="37"/>
        <v/>
      </c>
      <c r="IS60" s="4" t="str">
        <f t="shared" si="38"/>
        <v/>
      </c>
      <c r="IT60" s="4" t="str">
        <f t="shared" si="39"/>
        <v/>
      </c>
      <c r="IU60" s="4" t="str">
        <f t="shared" si="40"/>
        <v/>
      </c>
      <c r="IV60" s="4" t="str">
        <f t="shared" si="41"/>
        <v/>
      </c>
      <c r="IW60" s="4" t="str">
        <f t="shared" si="42"/>
        <v/>
      </c>
      <c r="IX60" s="4" t="str">
        <f t="shared" si="43"/>
        <v/>
      </c>
      <c r="IY60" s="4" t="str">
        <f t="shared" si="44"/>
        <v/>
      </c>
      <c r="IZ60" s="4" t="str">
        <f t="shared" si="45"/>
        <v/>
      </c>
      <c r="JA60" s="4" t="str">
        <f t="shared" ref="JA60:JB60" si="276">if(ISERROR(SEARCH("Higher Education",BB60)),"","810")</f>
        <v/>
      </c>
      <c r="JB60" s="4" t="str">
        <f t="shared" si="276"/>
        <v/>
      </c>
      <c r="JC60" s="4" t="str">
        <f t="shared" si="47"/>
        <v/>
      </c>
      <c r="JD60" s="4" t="str">
        <f t="shared" si="48"/>
        <v/>
      </c>
      <c r="JE60" s="4" t="str">
        <f t="shared" si="49"/>
        <v/>
      </c>
      <c r="JF60" s="4" t="str">
        <f t="shared" si="50"/>
        <v/>
      </c>
      <c r="JG60" s="4" t="str">
        <f t="shared" si="51"/>
        <v/>
      </c>
      <c r="JH60" s="4" t="str">
        <f t="shared" si="52"/>
        <v/>
      </c>
      <c r="JI60" s="4" t="str">
        <f t="shared" si="53"/>
        <v/>
      </c>
      <c r="JJ60" s="4" t="str">
        <f t="shared" si="54"/>
        <v/>
      </c>
      <c r="JK60" s="4" t="str">
        <f t="shared" si="55"/>
        <v/>
      </c>
      <c r="JL60" s="4" t="str">
        <f t="shared" si="56"/>
        <v/>
      </c>
      <c r="JM60" s="4" t="str">
        <f t="shared" si="57"/>
        <v/>
      </c>
      <c r="JN60" s="4" t="str">
        <f t="shared" si="58"/>
        <v/>
      </c>
      <c r="JO60" s="4" t="str">
        <f t="shared" si="59"/>
        <v/>
      </c>
      <c r="JP60" s="4" t="str">
        <f t="shared" si="60"/>
        <v/>
      </c>
      <c r="JQ60" s="4" t="str">
        <f t="shared" si="61"/>
        <v/>
      </c>
      <c r="JR60" s="4" t="str">
        <f t="shared" si="62"/>
        <v/>
      </c>
      <c r="JS60" s="4" t="str">
        <f t="shared" si="63"/>
        <v/>
      </c>
      <c r="JT60" s="4" t="str">
        <f t="shared" si="64"/>
        <v/>
      </c>
      <c r="JU60" s="4" t="str">
        <f t="shared" si="65"/>
        <v/>
      </c>
      <c r="JV60" s="4" t="str">
        <f t="shared" si="66"/>
        <v/>
      </c>
      <c r="JW60" s="4" t="str">
        <f t="shared" si="67"/>
        <v/>
      </c>
      <c r="JX60" s="4" t="str">
        <f t="shared" si="68"/>
        <v/>
      </c>
      <c r="JY60" s="4" t="str">
        <f t="shared" si="69"/>
        <v/>
      </c>
      <c r="JZ60" s="4" t="str">
        <f t="shared" si="70"/>
        <v/>
      </c>
      <c r="KA60" s="4" t="str">
        <f t="shared" si="71"/>
        <v/>
      </c>
      <c r="KB60" s="4" t="str">
        <f t="shared" si="72"/>
        <v/>
      </c>
      <c r="KC60" s="4" t="str">
        <f t="shared" si="73"/>
        <v/>
      </c>
      <c r="KD60" s="4" t="str">
        <f t="shared" si="74"/>
        <v/>
      </c>
      <c r="KE60" s="4" t="str">
        <f t="shared" si="75"/>
        <v/>
      </c>
      <c r="KF60" s="4" t="str">
        <f t="shared" si="76"/>
        <v/>
      </c>
      <c r="KG60" s="4" t="str">
        <f t="shared" si="77"/>
        <v/>
      </c>
      <c r="KH60" s="4" t="str">
        <f t="shared" si="78"/>
        <v/>
      </c>
      <c r="KI60" s="4" t="str">
        <f t="shared" si="79"/>
        <v/>
      </c>
      <c r="KJ60" s="4" t="str">
        <f t="shared" si="80"/>
        <v/>
      </c>
      <c r="KK60" s="4" t="str">
        <f t="shared" si="81"/>
        <v/>
      </c>
      <c r="KL60" s="4" t="str">
        <f t="shared" si="82"/>
        <v/>
      </c>
      <c r="KM60" s="4" t="str">
        <f t="shared" si="83"/>
        <v/>
      </c>
      <c r="KN60" s="4" t="str">
        <f t="shared" si="84"/>
        <v/>
      </c>
      <c r="KO60" s="4" t="str">
        <f t="shared" si="85"/>
        <v/>
      </c>
      <c r="KP60" s="4" t="str">
        <f t="shared" si="86"/>
        <v/>
      </c>
      <c r="KQ60" s="4" t="str">
        <f t="shared" si="87"/>
        <v/>
      </c>
      <c r="KR60" s="4" t="str">
        <f t="shared" si="88"/>
        <v/>
      </c>
      <c r="KS60" s="4" t="str">
        <f t="shared" si="89"/>
        <v/>
      </c>
      <c r="KT60" s="4" t="str">
        <f t="shared" si="90"/>
        <v/>
      </c>
      <c r="KU60" s="4" t="str">
        <f t="shared" si="91"/>
        <v/>
      </c>
      <c r="KV60" s="4" t="str">
        <f t="shared" si="92"/>
        <v/>
      </c>
      <c r="KW60" s="4" t="str">
        <f t="shared" si="93"/>
        <v/>
      </c>
      <c r="KX60" s="4" t="str">
        <f t="shared" si="94"/>
        <v/>
      </c>
      <c r="KY60" s="4" t="str">
        <f t="shared" si="95"/>
        <v/>
      </c>
      <c r="KZ60" s="4" t="str">
        <f t="shared" si="96"/>
        <v/>
      </c>
      <c r="LA60" s="4" t="str">
        <f t="shared" si="97"/>
        <v/>
      </c>
      <c r="LB60" s="4" t="str">
        <f t="shared" si="98"/>
        <v/>
      </c>
      <c r="LC60" s="4" t="str">
        <f t="shared" si="99"/>
        <v/>
      </c>
      <c r="LD60" s="4" t="str">
        <f t="shared" si="100"/>
        <v/>
      </c>
      <c r="LE60" s="4" t="str">
        <f t="shared" si="101"/>
        <v/>
      </c>
      <c r="LF60" s="4" t="str">
        <f t="shared" si="102"/>
        <v/>
      </c>
      <c r="LG60" s="4" t="str">
        <f t="shared" si="103"/>
        <v/>
      </c>
      <c r="LH60" s="4" t="str">
        <f t="shared" si="104"/>
        <v/>
      </c>
      <c r="LI60" s="4" t="str">
        <f t="shared" si="105"/>
        <v/>
      </c>
      <c r="LJ60" s="4" t="str">
        <f t="shared" si="106"/>
        <v/>
      </c>
      <c r="LK60" s="4" t="str">
        <f t="shared" si="107"/>
        <v/>
      </c>
      <c r="LL60" s="4" t="str">
        <f t="shared" si="108"/>
        <v/>
      </c>
      <c r="LM60" s="4" t="str">
        <f t="shared" si="109"/>
        <v/>
      </c>
      <c r="LN60" s="4" t="str">
        <f t="shared" si="110"/>
        <v/>
      </c>
      <c r="LO60" s="4" t="str">
        <f t="shared" si="111"/>
        <v/>
      </c>
      <c r="LP60" s="4" t="str">
        <f t="shared" si="112"/>
        <v/>
      </c>
      <c r="LQ60" s="4" t="str">
        <f t="shared" si="113"/>
        <v/>
      </c>
      <c r="LR60" s="4" t="str">
        <f t="shared" si="114"/>
        <v/>
      </c>
      <c r="LS60" s="4" t="str">
        <f t="shared" si="115"/>
        <v/>
      </c>
      <c r="LT60" s="4" t="str">
        <f t="shared" si="116"/>
        <v/>
      </c>
      <c r="LU60" s="4" t="str">
        <f t="shared" si="117"/>
        <v/>
      </c>
      <c r="LV60" s="4" t="str">
        <f t="shared" si="118"/>
        <v/>
      </c>
      <c r="LW60" s="4" t="str">
        <f t="shared" si="119"/>
        <v/>
      </c>
      <c r="LX60" s="4" t="str">
        <f t="shared" si="120"/>
        <v/>
      </c>
      <c r="LY60" s="4" t="str">
        <f t="shared" si="121"/>
        <v/>
      </c>
      <c r="LZ60" s="4" t="str">
        <f t="shared" si="122"/>
        <v/>
      </c>
      <c r="MA60" s="4" t="str">
        <f t="shared" si="123"/>
        <v/>
      </c>
      <c r="MB60" s="4" t="str">
        <f t="shared" si="124"/>
        <v/>
      </c>
      <c r="MC60" s="4" t="str">
        <f t="shared" si="125"/>
        <v/>
      </c>
      <c r="MD60" s="4" t="str">
        <f t="shared" si="126"/>
        <v/>
      </c>
      <c r="ME60" s="4" t="str">
        <f t="shared" si="127"/>
        <v/>
      </c>
      <c r="MF60" s="4" t="str">
        <f t="shared" si="128"/>
        <v/>
      </c>
      <c r="MG60" s="4" t="str">
        <f t="shared" si="129"/>
        <v/>
      </c>
      <c r="MH60" s="4" t="str">
        <f t="shared" si="130"/>
        <v/>
      </c>
      <c r="MI60" s="4" t="str">
        <f t="shared" si="131"/>
        <v/>
      </c>
      <c r="MJ60" s="4" t="str">
        <f t="shared" si="132"/>
        <v/>
      </c>
      <c r="MK60" s="4" t="str">
        <f t="shared" si="133"/>
        <v/>
      </c>
      <c r="ML60" s="4" t="str">
        <f t="shared" si="134"/>
        <v/>
      </c>
      <c r="MM60" s="4" t="str">
        <f t="shared" si="135"/>
        <v/>
      </c>
      <c r="MN60" s="4" t="str">
        <f t="shared" si="136"/>
        <v/>
      </c>
      <c r="MO60" s="4" t="str">
        <f t="shared" si="137"/>
        <v/>
      </c>
      <c r="MP60" s="4" t="str">
        <f t="shared" si="138"/>
        <v/>
      </c>
      <c r="MQ60" s="4" t="str">
        <f t="shared" si="139"/>
        <v/>
      </c>
      <c r="MR60" s="4" t="str">
        <f t="shared" si="140"/>
        <v/>
      </c>
      <c r="MS60" s="4" t="str">
        <f t="shared" si="141"/>
        <v/>
      </c>
      <c r="MT60" s="4" t="str">
        <f t="shared" si="142"/>
        <v/>
      </c>
      <c r="MU60" s="4" t="str">
        <f t="shared" si="143"/>
        <v/>
      </c>
      <c r="MV60" s="4" t="str">
        <f t="shared" si="144"/>
        <v/>
      </c>
      <c r="MW60" s="4" t="str">
        <f t="shared" si="145"/>
        <v/>
      </c>
      <c r="MX60" s="4" t="str">
        <f t="shared" si="146"/>
        <v/>
      </c>
      <c r="MY60" s="4" t="str">
        <f t="shared" si="147"/>
        <v/>
      </c>
      <c r="MZ60" s="4" t="str">
        <f t="shared" si="148"/>
        <v/>
      </c>
      <c r="NA60" s="4" t="str">
        <f t="shared" si="149"/>
        <v/>
      </c>
      <c r="NB60" s="4" t="str">
        <f t="shared" si="150"/>
        <v/>
      </c>
      <c r="NC60" s="4" t="str">
        <f t="shared" si="151"/>
        <v/>
      </c>
      <c r="ND60" s="4" t="str">
        <f t="shared" si="152"/>
        <v/>
      </c>
      <c r="NE60" s="4" t="str">
        <f t="shared" si="153"/>
        <v/>
      </c>
      <c r="NF60" s="4" t="str">
        <f t="shared" si="154"/>
        <v/>
      </c>
      <c r="NG60" s="4" t="str">
        <f t="shared" si="155"/>
        <v/>
      </c>
      <c r="NH60" s="4" t="str">
        <f t="shared" si="156"/>
        <v/>
      </c>
      <c r="NI60" s="4" t="str">
        <f t="shared" si="157"/>
        <v/>
      </c>
      <c r="NJ60" s="4" t="str">
        <f t="shared" si="158"/>
        <v/>
      </c>
      <c r="NK60" s="4" t="str">
        <f t="shared" si="159"/>
        <v/>
      </c>
      <c r="NL60" s="4" t="str">
        <f t="shared" si="160"/>
        <v/>
      </c>
      <c r="NM60" s="4" t="str">
        <f t="shared" si="161"/>
        <v/>
      </c>
      <c r="NN60" s="4" t="str">
        <f t="shared" si="162"/>
        <v/>
      </c>
      <c r="NO60" s="4" t="str">
        <f t="shared" si="163"/>
        <v/>
      </c>
      <c r="NP60" s="4" t="str">
        <f t="shared" si="164"/>
        <v/>
      </c>
      <c r="NQ60" s="4" t="str">
        <f t="shared" si="165"/>
        <v/>
      </c>
      <c r="NR60" s="4" t="str">
        <f t="shared" si="166"/>
        <v/>
      </c>
      <c r="NS60" s="4" t="str">
        <f t="shared" si="167"/>
        <v/>
      </c>
      <c r="NT60" s="4" t="str">
        <f t="shared" si="168"/>
        <v/>
      </c>
      <c r="NU60" s="4" t="str">
        <f t="shared" si="169"/>
        <v/>
      </c>
      <c r="NV60" s="4" t="str">
        <f t="shared" si="170"/>
        <v/>
      </c>
      <c r="NW60" s="4" t="str">
        <f t="shared" si="171"/>
        <v/>
      </c>
      <c r="NX60" s="4" t="str">
        <f t="shared" si="172"/>
        <v/>
      </c>
      <c r="NY60" s="4" t="str">
        <f t="shared" si="173"/>
        <v/>
      </c>
      <c r="NZ60" s="4" t="str">
        <f t="shared" si="174"/>
        <v/>
      </c>
      <c r="OA60" s="4" t="str">
        <f t="shared" si="175"/>
        <v/>
      </c>
      <c r="OB60" s="4" t="str">
        <f t="shared" si="176"/>
        <v/>
      </c>
      <c r="OC60" s="4" t="str">
        <f t="shared" si="177"/>
        <v/>
      </c>
      <c r="OD60" s="4" t="str">
        <f t="shared" si="178"/>
        <v/>
      </c>
      <c r="OE60" s="4" t="str">
        <f t="shared" si="179"/>
        <v/>
      </c>
      <c r="OF60" s="4" t="str">
        <f t="shared" si="180"/>
        <v/>
      </c>
      <c r="OG60" s="4" t="str">
        <f t="shared" si="181"/>
        <v/>
      </c>
      <c r="OH60" s="4" t="str">
        <f t="shared" si="182"/>
        <v/>
      </c>
      <c r="OI60" s="4" t="str">
        <f t="shared" si="183"/>
        <v/>
      </c>
      <c r="OJ60" s="4" t="str">
        <f t="shared" si="184"/>
        <v/>
      </c>
      <c r="OK60" s="4" t="str">
        <f t="shared" si="185"/>
        <v/>
      </c>
      <c r="OL60" s="4" t="str">
        <f t="shared" si="186"/>
        <v/>
      </c>
      <c r="OM60" s="4" t="str">
        <f t="shared" si="187"/>
        <v/>
      </c>
      <c r="ON60" s="4" t="str">
        <f t="shared" si="188"/>
        <v/>
      </c>
      <c r="OO60" s="4" t="str">
        <f t="shared" si="189"/>
        <v/>
      </c>
      <c r="OP60" s="4" t="str">
        <f t="shared" si="190"/>
        <v/>
      </c>
      <c r="OQ60" s="4" t="str">
        <f t="shared" si="191"/>
        <v/>
      </c>
      <c r="OR60" s="4" t="str">
        <f t="shared" si="192"/>
        <v/>
      </c>
      <c r="OS60" s="4" t="str">
        <f t="shared" si="193"/>
        <v/>
      </c>
      <c r="OT60" s="4" t="str">
        <f t="shared" si="194"/>
        <v/>
      </c>
      <c r="OU60" s="4" t="str">
        <f t="shared" si="195"/>
        <v/>
      </c>
      <c r="OV60" s="4" t="str">
        <f t="shared" si="196"/>
        <v/>
      </c>
      <c r="OW60" s="4" t="str">
        <f t="shared" si="197"/>
        <v/>
      </c>
      <c r="OX60" s="4" t="str">
        <f t="shared" si="198"/>
        <v/>
      </c>
      <c r="OY60" s="4" t="str">
        <f t="shared" si="199"/>
        <v/>
      </c>
      <c r="OZ60" s="4" t="str">
        <f t="shared" si="200"/>
        <v/>
      </c>
      <c r="PA60" s="4" t="str">
        <f t="shared" si="201"/>
        <v/>
      </c>
      <c r="PB60" s="4" t="str">
        <f t="shared" si="202"/>
        <v/>
      </c>
      <c r="PC60" s="4" t="str">
        <f t="shared" si="203"/>
        <v/>
      </c>
      <c r="PD60" s="4" t="str">
        <f t="shared" si="204"/>
        <v/>
      </c>
      <c r="PE60" s="4" t="str">
        <f t="shared" si="205"/>
        <v/>
      </c>
      <c r="PF60" s="4" t="str">
        <f t="shared" si="206"/>
        <v/>
      </c>
      <c r="PG60" s="4" t="str">
        <f t="shared" si="207"/>
        <v/>
      </c>
      <c r="PH60" s="4" t="str">
        <f t="shared" si="208"/>
        <v/>
      </c>
      <c r="PI60" s="4" t="str">
        <f t="shared" si="209"/>
        <v/>
      </c>
      <c r="PJ60" s="4" t="str">
        <f t="shared" si="210"/>
        <v/>
      </c>
      <c r="PK60" s="4" t="str">
        <f t="shared" si="211"/>
        <v/>
      </c>
      <c r="PL60" s="4" t="str">
        <f t="shared" si="212"/>
        <v/>
      </c>
      <c r="PM60" s="4" t="str">
        <f t="shared" si="213"/>
        <v/>
      </c>
      <c r="PN60" s="4" t="str">
        <f t="shared" si="214"/>
        <v/>
      </c>
      <c r="PO60" s="4" t="str">
        <f t="shared" si="215"/>
        <v/>
      </c>
      <c r="PP60" s="4" t="str">
        <f t="shared" si="216"/>
        <v/>
      </c>
      <c r="PQ60" s="4" t="str">
        <f t="shared" si="217"/>
        <v/>
      </c>
      <c r="PR60" s="4" t="str">
        <f t="shared" si="218"/>
        <v/>
      </c>
      <c r="PS60" s="4" t="str">
        <f t="shared" si="219"/>
        <v/>
      </c>
    </row>
    <row r="61">
      <c r="HI61" s="4" t="str">
        <f t="shared" si="2"/>
        <v/>
      </c>
      <c r="HJ61" s="4" t="str">
        <f t="shared" si="3"/>
        <v/>
      </c>
      <c r="HK61" s="4" t="str">
        <f t="shared" si="4"/>
        <v/>
      </c>
      <c r="HL61" s="4" t="str">
        <f t="shared" si="5"/>
        <v/>
      </c>
      <c r="HM61" s="4" t="str">
        <f t="shared" si="6"/>
        <v/>
      </c>
      <c r="HN61" s="4" t="str">
        <f t="shared" si="7"/>
        <v/>
      </c>
      <c r="HO61" s="4" t="str">
        <f t="shared" si="8"/>
        <v/>
      </c>
      <c r="HP61" s="4" t="str">
        <f t="shared" si="9"/>
        <v/>
      </c>
      <c r="HQ61" s="4" t="str">
        <f t="shared" si="10"/>
        <v/>
      </c>
      <c r="HR61" s="4" t="str">
        <f t="shared" si="11"/>
        <v/>
      </c>
      <c r="HS61" s="4" t="str">
        <f t="shared" si="12"/>
        <v/>
      </c>
      <c r="HT61" s="4" t="str">
        <f t="shared" si="13"/>
        <v/>
      </c>
      <c r="HU61" s="4" t="str">
        <f t="shared" si="14"/>
        <v/>
      </c>
      <c r="HV61" s="4" t="str">
        <f t="shared" si="15"/>
        <v/>
      </c>
      <c r="HW61" s="4" t="str">
        <f t="shared" si="16"/>
        <v/>
      </c>
      <c r="HX61" s="4" t="str">
        <f t="shared" si="17"/>
        <v/>
      </c>
      <c r="HY61" s="4" t="str">
        <f t="shared" si="18"/>
        <v/>
      </c>
      <c r="HZ61" s="4" t="str">
        <f t="shared" si="19"/>
        <v/>
      </c>
      <c r="IA61" s="4" t="str">
        <f t="shared" si="20"/>
        <v/>
      </c>
      <c r="IB61" s="4" t="str">
        <f t="shared" si="21"/>
        <v/>
      </c>
      <c r="IC61" s="4" t="str">
        <f t="shared" si="22"/>
        <v/>
      </c>
      <c r="ID61" s="4" t="str">
        <f t="shared" si="23"/>
        <v/>
      </c>
      <c r="IE61" s="4" t="str">
        <f t="shared" si="24"/>
        <v/>
      </c>
      <c r="IF61" s="4" t="str">
        <f t="shared" si="25"/>
        <v/>
      </c>
      <c r="IG61" s="4" t="str">
        <f t="shared" si="26"/>
        <v/>
      </c>
      <c r="IH61" s="4" t="str">
        <f t="shared" si="27"/>
        <v/>
      </c>
      <c r="II61" s="4" t="str">
        <f t="shared" si="28"/>
        <v/>
      </c>
      <c r="IJ61" s="4" t="str">
        <f t="shared" si="29"/>
        <v/>
      </c>
      <c r="IK61" s="4" t="str">
        <f t="shared" si="30"/>
        <v/>
      </c>
      <c r="IL61" s="4" t="str">
        <f t="shared" si="31"/>
        <v/>
      </c>
      <c r="IM61" s="4" t="str">
        <f t="shared" si="32"/>
        <v/>
      </c>
      <c r="IN61" s="4" t="str">
        <f t="shared" si="33"/>
        <v/>
      </c>
      <c r="IO61" s="4" t="str">
        <f t="shared" si="34"/>
        <v/>
      </c>
      <c r="IP61" s="4" t="str">
        <f t="shared" si="35"/>
        <v/>
      </c>
      <c r="IQ61" s="4" t="str">
        <f t="shared" si="36"/>
        <v/>
      </c>
      <c r="IR61" s="4" t="str">
        <f t="shared" si="37"/>
        <v/>
      </c>
      <c r="IS61" s="4" t="str">
        <f t="shared" si="38"/>
        <v/>
      </c>
      <c r="IT61" s="4" t="str">
        <f t="shared" si="39"/>
        <v/>
      </c>
      <c r="IU61" s="4" t="str">
        <f t="shared" si="40"/>
        <v/>
      </c>
      <c r="IV61" s="4" t="str">
        <f t="shared" si="41"/>
        <v/>
      </c>
      <c r="IW61" s="4" t="str">
        <f t="shared" si="42"/>
        <v/>
      </c>
      <c r="IX61" s="4" t="str">
        <f t="shared" si="43"/>
        <v/>
      </c>
      <c r="IY61" s="4" t="str">
        <f t="shared" si="44"/>
        <v/>
      </c>
      <c r="IZ61" s="4" t="str">
        <f t="shared" si="45"/>
        <v/>
      </c>
      <c r="JA61" s="4" t="str">
        <f t="shared" ref="JA61:JB61" si="277">if(ISERROR(SEARCH("Higher Education",BB61)),"","810")</f>
        <v/>
      </c>
      <c r="JB61" s="4" t="str">
        <f t="shared" si="277"/>
        <v/>
      </c>
      <c r="JC61" s="4" t="str">
        <f t="shared" si="47"/>
        <v/>
      </c>
      <c r="JD61" s="4" t="str">
        <f t="shared" si="48"/>
        <v/>
      </c>
      <c r="JE61" s="4" t="str">
        <f t="shared" si="49"/>
        <v/>
      </c>
      <c r="JF61" s="4" t="str">
        <f t="shared" si="50"/>
        <v/>
      </c>
      <c r="JG61" s="4" t="str">
        <f t="shared" si="51"/>
        <v/>
      </c>
      <c r="JH61" s="4" t="str">
        <f t="shared" si="52"/>
        <v/>
      </c>
      <c r="JI61" s="4" t="str">
        <f t="shared" si="53"/>
        <v/>
      </c>
      <c r="JJ61" s="4" t="str">
        <f t="shared" si="54"/>
        <v/>
      </c>
      <c r="JK61" s="4" t="str">
        <f t="shared" si="55"/>
        <v/>
      </c>
      <c r="JL61" s="4" t="str">
        <f t="shared" si="56"/>
        <v/>
      </c>
      <c r="JM61" s="4" t="str">
        <f t="shared" si="57"/>
        <v/>
      </c>
      <c r="JN61" s="4" t="str">
        <f t="shared" si="58"/>
        <v/>
      </c>
      <c r="JO61" s="4" t="str">
        <f t="shared" si="59"/>
        <v/>
      </c>
      <c r="JP61" s="4" t="str">
        <f t="shared" si="60"/>
        <v/>
      </c>
      <c r="JQ61" s="4" t="str">
        <f t="shared" si="61"/>
        <v/>
      </c>
      <c r="JR61" s="4" t="str">
        <f t="shared" si="62"/>
        <v/>
      </c>
      <c r="JS61" s="4" t="str">
        <f t="shared" si="63"/>
        <v/>
      </c>
      <c r="JT61" s="4" t="str">
        <f t="shared" si="64"/>
        <v/>
      </c>
      <c r="JU61" s="4" t="str">
        <f t="shared" si="65"/>
        <v/>
      </c>
      <c r="JV61" s="4" t="str">
        <f t="shared" si="66"/>
        <v/>
      </c>
      <c r="JW61" s="4" t="str">
        <f t="shared" si="67"/>
        <v/>
      </c>
      <c r="JX61" s="4" t="str">
        <f t="shared" si="68"/>
        <v/>
      </c>
      <c r="JY61" s="4" t="str">
        <f t="shared" si="69"/>
        <v/>
      </c>
      <c r="JZ61" s="4" t="str">
        <f t="shared" si="70"/>
        <v/>
      </c>
      <c r="KA61" s="4" t="str">
        <f t="shared" si="71"/>
        <v/>
      </c>
      <c r="KB61" s="4" t="str">
        <f t="shared" si="72"/>
        <v/>
      </c>
      <c r="KC61" s="4" t="str">
        <f t="shared" si="73"/>
        <v/>
      </c>
      <c r="KD61" s="4" t="str">
        <f t="shared" si="74"/>
        <v/>
      </c>
      <c r="KE61" s="4" t="str">
        <f t="shared" si="75"/>
        <v/>
      </c>
      <c r="KF61" s="4" t="str">
        <f t="shared" si="76"/>
        <v/>
      </c>
      <c r="KG61" s="4" t="str">
        <f t="shared" si="77"/>
        <v/>
      </c>
      <c r="KH61" s="4" t="str">
        <f t="shared" si="78"/>
        <v/>
      </c>
      <c r="KI61" s="4" t="str">
        <f t="shared" si="79"/>
        <v/>
      </c>
      <c r="KJ61" s="4" t="str">
        <f t="shared" si="80"/>
        <v/>
      </c>
      <c r="KK61" s="4" t="str">
        <f t="shared" si="81"/>
        <v/>
      </c>
      <c r="KL61" s="4" t="str">
        <f t="shared" si="82"/>
        <v/>
      </c>
      <c r="KM61" s="4" t="str">
        <f t="shared" si="83"/>
        <v/>
      </c>
      <c r="KN61" s="4" t="str">
        <f t="shared" si="84"/>
        <v/>
      </c>
      <c r="KO61" s="4" t="str">
        <f t="shared" si="85"/>
        <v/>
      </c>
      <c r="KP61" s="4" t="str">
        <f t="shared" si="86"/>
        <v/>
      </c>
      <c r="KQ61" s="4" t="str">
        <f t="shared" si="87"/>
        <v/>
      </c>
      <c r="KR61" s="4" t="str">
        <f t="shared" si="88"/>
        <v/>
      </c>
      <c r="KS61" s="4" t="str">
        <f t="shared" si="89"/>
        <v/>
      </c>
      <c r="KT61" s="4" t="str">
        <f t="shared" si="90"/>
        <v/>
      </c>
      <c r="KU61" s="4" t="str">
        <f t="shared" si="91"/>
        <v/>
      </c>
      <c r="KV61" s="4" t="str">
        <f t="shared" si="92"/>
        <v/>
      </c>
      <c r="KW61" s="4" t="str">
        <f t="shared" si="93"/>
        <v/>
      </c>
      <c r="KX61" s="4" t="str">
        <f t="shared" si="94"/>
        <v/>
      </c>
      <c r="KY61" s="4" t="str">
        <f t="shared" si="95"/>
        <v/>
      </c>
      <c r="KZ61" s="4" t="str">
        <f t="shared" si="96"/>
        <v/>
      </c>
      <c r="LA61" s="4" t="str">
        <f t="shared" si="97"/>
        <v/>
      </c>
      <c r="LB61" s="4" t="str">
        <f t="shared" si="98"/>
        <v/>
      </c>
      <c r="LC61" s="4" t="str">
        <f t="shared" si="99"/>
        <v/>
      </c>
      <c r="LD61" s="4" t="str">
        <f t="shared" si="100"/>
        <v/>
      </c>
      <c r="LE61" s="4" t="str">
        <f t="shared" si="101"/>
        <v/>
      </c>
      <c r="LF61" s="4" t="str">
        <f t="shared" si="102"/>
        <v/>
      </c>
      <c r="LG61" s="4" t="str">
        <f t="shared" si="103"/>
        <v/>
      </c>
      <c r="LH61" s="4" t="str">
        <f t="shared" si="104"/>
        <v/>
      </c>
      <c r="LI61" s="4" t="str">
        <f t="shared" si="105"/>
        <v/>
      </c>
      <c r="LJ61" s="4" t="str">
        <f t="shared" si="106"/>
        <v/>
      </c>
      <c r="LK61" s="4" t="str">
        <f t="shared" si="107"/>
        <v/>
      </c>
      <c r="LL61" s="4" t="str">
        <f t="shared" si="108"/>
        <v/>
      </c>
      <c r="LM61" s="4" t="str">
        <f t="shared" si="109"/>
        <v/>
      </c>
      <c r="LN61" s="4" t="str">
        <f t="shared" si="110"/>
        <v/>
      </c>
      <c r="LO61" s="4" t="str">
        <f t="shared" si="111"/>
        <v/>
      </c>
      <c r="LP61" s="4" t="str">
        <f t="shared" si="112"/>
        <v/>
      </c>
      <c r="LQ61" s="4" t="str">
        <f t="shared" si="113"/>
        <v/>
      </c>
      <c r="LR61" s="4" t="str">
        <f t="shared" si="114"/>
        <v/>
      </c>
      <c r="LS61" s="4" t="str">
        <f t="shared" si="115"/>
        <v/>
      </c>
      <c r="LT61" s="4" t="str">
        <f t="shared" si="116"/>
        <v/>
      </c>
      <c r="LU61" s="4" t="str">
        <f t="shared" si="117"/>
        <v/>
      </c>
      <c r="LV61" s="4" t="str">
        <f t="shared" si="118"/>
        <v/>
      </c>
      <c r="LW61" s="4" t="str">
        <f t="shared" si="119"/>
        <v/>
      </c>
      <c r="LX61" s="4" t="str">
        <f t="shared" si="120"/>
        <v/>
      </c>
      <c r="LY61" s="4" t="str">
        <f t="shared" si="121"/>
        <v/>
      </c>
      <c r="LZ61" s="4" t="str">
        <f t="shared" si="122"/>
        <v/>
      </c>
      <c r="MA61" s="4" t="str">
        <f t="shared" si="123"/>
        <v/>
      </c>
      <c r="MB61" s="4" t="str">
        <f t="shared" si="124"/>
        <v/>
      </c>
      <c r="MC61" s="4" t="str">
        <f t="shared" si="125"/>
        <v/>
      </c>
      <c r="MD61" s="4" t="str">
        <f t="shared" si="126"/>
        <v/>
      </c>
      <c r="ME61" s="4" t="str">
        <f t="shared" si="127"/>
        <v/>
      </c>
      <c r="MF61" s="4" t="str">
        <f t="shared" si="128"/>
        <v/>
      </c>
      <c r="MG61" s="4" t="str">
        <f t="shared" si="129"/>
        <v/>
      </c>
      <c r="MH61" s="4" t="str">
        <f t="shared" si="130"/>
        <v/>
      </c>
      <c r="MI61" s="4" t="str">
        <f t="shared" si="131"/>
        <v/>
      </c>
      <c r="MJ61" s="4" t="str">
        <f t="shared" si="132"/>
        <v/>
      </c>
      <c r="MK61" s="4" t="str">
        <f t="shared" si="133"/>
        <v/>
      </c>
      <c r="ML61" s="4" t="str">
        <f t="shared" si="134"/>
        <v/>
      </c>
      <c r="MM61" s="4" t="str">
        <f t="shared" si="135"/>
        <v/>
      </c>
      <c r="MN61" s="4" t="str">
        <f t="shared" si="136"/>
        <v/>
      </c>
      <c r="MO61" s="4" t="str">
        <f t="shared" si="137"/>
        <v/>
      </c>
      <c r="MP61" s="4" t="str">
        <f t="shared" si="138"/>
        <v/>
      </c>
      <c r="MQ61" s="4" t="str">
        <f t="shared" si="139"/>
        <v/>
      </c>
      <c r="MR61" s="4" t="str">
        <f t="shared" si="140"/>
        <v/>
      </c>
      <c r="MS61" s="4" t="str">
        <f t="shared" si="141"/>
        <v/>
      </c>
      <c r="MT61" s="4" t="str">
        <f t="shared" si="142"/>
        <v/>
      </c>
      <c r="MU61" s="4" t="str">
        <f t="shared" si="143"/>
        <v/>
      </c>
      <c r="MV61" s="4" t="str">
        <f t="shared" si="144"/>
        <v/>
      </c>
      <c r="MW61" s="4" t="str">
        <f t="shared" si="145"/>
        <v/>
      </c>
      <c r="MX61" s="4" t="str">
        <f t="shared" si="146"/>
        <v/>
      </c>
      <c r="MY61" s="4" t="str">
        <f t="shared" si="147"/>
        <v/>
      </c>
      <c r="MZ61" s="4" t="str">
        <f t="shared" si="148"/>
        <v/>
      </c>
      <c r="NA61" s="4" t="str">
        <f t="shared" si="149"/>
        <v/>
      </c>
      <c r="NB61" s="4" t="str">
        <f t="shared" si="150"/>
        <v/>
      </c>
      <c r="NC61" s="4" t="str">
        <f t="shared" si="151"/>
        <v/>
      </c>
      <c r="ND61" s="4" t="str">
        <f t="shared" si="152"/>
        <v/>
      </c>
      <c r="NE61" s="4" t="str">
        <f t="shared" si="153"/>
        <v/>
      </c>
      <c r="NF61" s="4" t="str">
        <f t="shared" si="154"/>
        <v/>
      </c>
      <c r="NG61" s="4" t="str">
        <f t="shared" si="155"/>
        <v/>
      </c>
      <c r="NH61" s="4" t="str">
        <f t="shared" si="156"/>
        <v/>
      </c>
      <c r="NI61" s="4" t="str">
        <f t="shared" si="157"/>
        <v/>
      </c>
      <c r="NJ61" s="4" t="str">
        <f t="shared" si="158"/>
        <v/>
      </c>
      <c r="NK61" s="4" t="str">
        <f t="shared" si="159"/>
        <v/>
      </c>
      <c r="NL61" s="4" t="str">
        <f t="shared" si="160"/>
        <v/>
      </c>
      <c r="NM61" s="4" t="str">
        <f t="shared" si="161"/>
        <v/>
      </c>
      <c r="NN61" s="4" t="str">
        <f t="shared" si="162"/>
        <v/>
      </c>
      <c r="NO61" s="4" t="str">
        <f t="shared" si="163"/>
        <v/>
      </c>
      <c r="NP61" s="4" t="str">
        <f t="shared" si="164"/>
        <v/>
      </c>
      <c r="NQ61" s="4" t="str">
        <f t="shared" si="165"/>
        <v/>
      </c>
      <c r="NR61" s="4" t="str">
        <f t="shared" si="166"/>
        <v/>
      </c>
      <c r="NS61" s="4" t="str">
        <f t="shared" si="167"/>
        <v/>
      </c>
      <c r="NT61" s="4" t="str">
        <f t="shared" si="168"/>
        <v/>
      </c>
      <c r="NU61" s="4" t="str">
        <f t="shared" si="169"/>
        <v/>
      </c>
      <c r="NV61" s="4" t="str">
        <f t="shared" si="170"/>
        <v/>
      </c>
      <c r="NW61" s="4" t="str">
        <f t="shared" si="171"/>
        <v/>
      </c>
      <c r="NX61" s="4" t="str">
        <f t="shared" si="172"/>
        <v/>
      </c>
      <c r="NY61" s="4" t="str">
        <f t="shared" si="173"/>
        <v/>
      </c>
      <c r="NZ61" s="4" t="str">
        <f t="shared" si="174"/>
        <v/>
      </c>
      <c r="OA61" s="4" t="str">
        <f t="shared" si="175"/>
        <v/>
      </c>
      <c r="OB61" s="4" t="str">
        <f t="shared" si="176"/>
        <v/>
      </c>
      <c r="OC61" s="4" t="str">
        <f t="shared" si="177"/>
        <v/>
      </c>
      <c r="OD61" s="4" t="str">
        <f t="shared" si="178"/>
        <v/>
      </c>
      <c r="OE61" s="4" t="str">
        <f t="shared" si="179"/>
        <v/>
      </c>
      <c r="OF61" s="4" t="str">
        <f t="shared" si="180"/>
        <v/>
      </c>
      <c r="OG61" s="4" t="str">
        <f t="shared" si="181"/>
        <v/>
      </c>
      <c r="OH61" s="4" t="str">
        <f t="shared" si="182"/>
        <v/>
      </c>
      <c r="OI61" s="4" t="str">
        <f t="shared" si="183"/>
        <v/>
      </c>
      <c r="OJ61" s="4" t="str">
        <f t="shared" si="184"/>
        <v/>
      </c>
      <c r="OK61" s="4" t="str">
        <f t="shared" si="185"/>
        <v/>
      </c>
      <c r="OL61" s="4" t="str">
        <f t="shared" si="186"/>
        <v/>
      </c>
      <c r="OM61" s="4" t="str">
        <f t="shared" si="187"/>
        <v/>
      </c>
      <c r="ON61" s="4" t="str">
        <f t="shared" si="188"/>
        <v/>
      </c>
      <c r="OO61" s="4" t="str">
        <f t="shared" si="189"/>
        <v/>
      </c>
      <c r="OP61" s="4" t="str">
        <f t="shared" si="190"/>
        <v/>
      </c>
      <c r="OQ61" s="4" t="str">
        <f t="shared" si="191"/>
        <v/>
      </c>
      <c r="OR61" s="4" t="str">
        <f t="shared" si="192"/>
        <v/>
      </c>
      <c r="OS61" s="4" t="str">
        <f t="shared" si="193"/>
        <v/>
      </c>
      <c r="OT61" s="4" t="str">
        <f t="shared" si="194"/>
        <v/>
      </c>
      <c r="OU61" s="4" t="str">
        <f t="shared" si="195"/>
        <v/>
      </c>
      <c r="OV61" s="4" t="str">
        <f t="shared" si="196"/>
        <v/>
      </c>
      <c r="OW61" s="4" t="str">
        <f t="shared" si="197"/>
        <v/>
      </c>
      <c r="OX61" s="4" t="str">
        <f t="shared" si="198"/>
        <v/>
      </c>
      <c r="OY61" s="4" t="str">
        <f t="shared" si="199"/>
        <v/>
      </c>
      <c r="OZ61" s="4" t="str">
        <f t="shared" si="200"/>
        <v/>
      </c>
      <c r="PA61" s="4" t="str">
        <f t="shared" si="201"/>
        <v/>
      </c>
      <c r="PB61" s="4" t="str">
        <f t="shared" si="202"/>
        <v/>
      </c>
      <c r="PC61" s="4" t="str">
        <f t="shared" si="203"/>
        <v/>
      </c>
      <c r="PD61" s="4" t="str">
        <f t="shared" si="204"/>
        <v/>
      </c>
      <c r="PE61" s="4" t="str">
        <f t="shared" si="205"/>
        <v/>
      </c>
      <c r="PF61" s="4" t="str">
        <f t="shared" si="206"/>
        <v/>
      </c>
      <c r="PG61" s="4" t="str">
        <f t="shared" si="207"/>
        <v/>
      </c>
      <c r="PH61" s="4" t="str">
        <f t="shared" si="208"/>
        <v/>
      </c>
      <c r="PI61" s="4" t="str">
        <f t="shared" si="209"/>
        <v/>
      </c>
      <c r="PJ61" s="4" t="str">
        <f t="shared" si="210"/>
        <v/>
      </c>
      <c r="PK61" s="4" t="str">
        <f t="shared" si="211"/>
        <v/>
      </c>
      <c r="PL61" s="4" t="str">
        <f t="shared" si="212"/>
        <v/>
      </c>
      <c r="PM61" s="4" t="str">
        <f t="shared" si="213"/>
        <v/>
      </c>
      <c r="PN61" s="4" t="str">
        <f t="shared" si="214"/>
        <v/>
      </c>
      <c r="PO61" s="4" t="str">
        <f t="shared" si="215"/>
        <v/>
      </c>
      <c r="PP61" s="4" t="str">
        <f t="shared" si="216"/>
        <v/>
      </c>
      <c r="PQ61" s="4" t="str">
        <f t="shared" si="217"/>
        <v/>
      </c>
      <c r="PR61" s="4" t="str">
        <f t="shared" si="218"/>
        <v/>
      </c>
      <c r="PS61" s="4" t="str">
        <f t="shared" si="219"/>
        <v/>
      </c>
    </row>
    <row r="62">
      <c r="HI62" s="4" t="str">
        <f t="shared" si="2"/>
        <v/>
      </c>
      <c r="HJ62" s="4" t="str">
        <f t="shared" si="3"/>
        <v/>
      </c>
      <c r="HK62" s="4" t="str">
        <f t="shared" si="4"/>
        <v/>
      </c>
      <c r="HL62" s="4" t="str">
        <f t="shared" si="5"/>
        <v/>
      </c>
      <c r="HM62" s="4" t="str">
        <f t="shared" si="6"/>
        <v/>
      </c>
      <c r="HN62" s="4" t="str">
        <f t="shared" si="7"/>
        <v/>
      </c>
      <c r="HO62" s="4" t="str">
        <f t="shared" si="8"/>
        <v/>
      </c>
      <c r="HP62" s="4" t="str">
        <f t="shared" si="9"/>
        <v/>
      </c>
      <c r="HQ62" s="4" t="str">
        <f t="shared" si="10"/>
        <v/>
      </c>
      <c r="HR62" s="4" t="str">
        <f t="shared" si="11"/>
        <v/>
      </c>
      <c r="HS62" s="4" t="str">
        <f t="shared" si="12"/>
        <v/>
      </c>
      <c r="HT62" s="4" t="str">
        <f t="shared" si="13"/>
        <v/>
      </c>
      <c r="HU62" s="4" t="str">
        <f t="shared" si="14"/>
        <v/>
      </c>
      <c r="HV62" s="4" t="str">
        <f t="shared" si="15"/>
        <v/>
      </c>
      <c r="HW62" s="4" t="str">
        <f t="shared" si="16"/>
        <v/>
      </c>
      <c r="HX62" s="4" t="str">
        <f t="shared" si="17"/>
        <v/>
      </c>
      <c r="HY62" s="4" t="str">
        <f t="shared" si="18"/>
        <v/>
      </c>
      <c r="HZ62" s="4" t="str">
        <f t="shared" si="19"/>
        <v/>
      </c>
      <c r="IA62" s="4" t="str">
        <f t="shared" si="20"/>
        <v/>
      </c>
      <c r="IB62" s="4" t="str">
        <f t="shared" si="21"/>
        <v/>
      </c>
      <c r="IC62" s="4" t="str">
        <f t="shared" si="22"/>
        <v/>
      </c>
      <c r="ID62" s="4" t="str">
        <f t="shared" si="23"/>
        <v/>
      </c>
      <c r="IE62" s="4" t="str">
        <f t="shared" si="24"/>
        <v/>
      </c>
      <c r="IF62" s="4" t="str">
        <f t="shared" si="25"/>
        <v/>
      </c>
      <c r="IG62" s="4" t="str">
        <f t="shared" si="26"/>
        <v/>
      </c>
      <c r="IH62" s="4" t="str">
        <f t="shared" si="27"/>
        <v/>
      </c>
      <c r="II62" s="4" t="str">
        <f t="shared" si="28"/>
        <v/>
      </c>
      <c r="IJ62" s="4" t="str">
        <f t="shared" si="29"/>
        <v/>
      </c>
      <c r="IK62" s="4" t="str">
        <f t="shared" si="30"/>
        <v/>
      </c>
      <c r="IL62" s="4" t="str">
        <f t="shared" si="31"/>
        <v/>
      </c>
      <c r="IM62" s="4" t="str">
        <f t="shared" si="32"/>
        <v/>
      </c>
      <c r="IN62" s="4" t="str">
        <f t="shared" si="33"/>
        <v/>
      </c>
      <c r="IO62" s="4" t="str">
        <f t="shared" si="34"/>
        <v/>
      </c>
      <c r="IP62" s="4" t="str">
        <f t="shared" si="35"/>
        <v/>
      </c>
      <c r="IQ62" s="4" t="str">
        <f t="shared" si="36"/>
        <v/>
      </c>
      <c r="IR62" s="4" t="str">
        <f t="shared" si="37"/>
        <v/>
      </c>
      <c r="IS62" s="4" t="str">
        <f t="shared" si="38"/>
        <v/>
      </c>
      <c r="IT62" s="4" t="str">
        <f t="shared" si="39"/>
        <v/>
      </c>
      <c r="IU62" s="4" t="str">
        <f t="shared" si="40"/>
        <v/>
      </c>
      <c r="IV62" s="4" t="str">
        <f t="shared" si="41"/>
        <v/>
      </c>
      <c r="IW62" s="4" t="str">
        <f t="shared" si="42"/>
        <v/>
      </c>
      <c r="IX62" s="4" t="str">
        <f t="shared" si="43"/>
        <v/>
      </c>
      <c r="IY62" s="4" t="str">
        <f t="shared" si="44"/>
        <v/>
      </c>
      <c r="IZ62" s="4" t="str">
        <f t="shared" si="45"/>
        <v/>
      </c>
      <c r="JA62" s="4" t="str">
        <f t="shared" ref="JA62:JB62" si="278">if(ISERROR(SEARCH("Higher Education",BB62)),"","810")</f>
        <v/>
      </c>
      <c r="JB62" s="4" t="str">
        <f t="shared" si="278"/>
        <v/>
      </c>
      <c r="JC62" s="4" t="str">
        <f t="shared" si="47"/>
        <v/>
      </c>
      <c r="JD62" s="4" t="str">
        <f t="shared" si="48"/>
        <v/>
      </c>
      <c r="JE62" s="4" t="str">
        <f t="shared" si="49"/>
        <v/>
      </c>
      <c r="JF62" s="4" t="str">
        <f t="shared" si="50"/>
        <v/>
      </c>
      <c r="JG62" s="4" t="str">
        <f t="shared" si="51"/>
        <v/>
      </c>
      <c r="JH62" s="4" t="str">
        <f t="shared" si="52"/>
        <v/>
      </c>
      <c r="JI62" s="4" t="str">
        <f t="shared" si="53"/>
        <v/>
      </c>
      <c r="JJ62" s="4" t="str">
        <f t="shared" si="54"/>
        <v/>
      </c>
      <c r="JK62" s="4" t="str">
        <f t="shared" si="55"/>
        <v/>
      </c>
      <c r="JL62" s="4" t="str">
        <f t="shared" si="56"/>
        <v/>
      </c>
      <c r="JM62" s="4" t="str">
        <f t="shared" si="57"/>
        <v/>
      </c>
      <c r="JN62" s="4" t="str">
        <f t="shared" si="58"/>
        <v/>
      </c>
      <c r="JO62" s="4" t="str">
        <f t="shared" si="59"/>
        <v/>
      </c>
      <c r="JP62" s="4" t="str">
        <f t="shared" si="60"/>
        <v/>
      </c>
      <c r="JQ62" s="4" t="str">
        <f t="shared" si="61"/>
        <v/>
      </c>
      <c r="JR62" s="4" t="str">
        <f t="shared" si="62"/>
        <v/>
      </c>
      <c r="JS62" s="4" t="str">
        <f t="shared" si="63"/>
        <v/>
      </c>
      <c r="JT62" s="4" t="str">
        <f t="shared" si="64"/>
        <v/>
      </c>
      <c r="JU62" s="4" t="str">
        <f t="shared" si="65"/>
        <v/>
      </c>
      <c r="JV62" s="4" t="str">
        <f t="shared" si="66"/>
        <v/>
      </c>
      <c r="JW62" s="4" t="str">
        <f t="shared" si="67"/>
        <v/>
      </c>
      <c r="JX62" s="4" t="str">
        <f t="shared" si="68"/>
        <v/>
      </c>
      <c r="JY62" s="4" t="str">
        <f t="shared" si="69"/>
        <v/>
      </c>
      <c r="JZ62" s="4" t="str">
        <f t="shared" si="70"/>
        <v/>
      </c>
      <c r="KA62" s="4" t="str">
        <f t="shared" si="71"/>
        <v/>
      </c>
      <c r="KB62" s="4" t="str">
        <f t="shared" si="72"/>
        <v/>
      </c>
      <c r="KC62" s="4" t="str">
        <f t="shared" si="73"/>
        <v/>
      </c>
      <c r="KD62" s="4" t="str">
        <f t="shared" si="74"/>
        <v/>
      </c>
      <c r="KE62" s="4" t="str">
        <f t="shared" si="75"/>
        <v/>
      </c>
      <c r="KF62" s="4" t="str">
        <f t="shared" si="76"/>
        <v/>
      </c>
      <c r="KG62" s="4" t="str">
        <f t="shared" si="77"/>
        <v/>
      </c>
      <c r="KH62" s="4" t="str">
        <f t="shared" si="78"/>
        <v/>
      </c>
      <c r="KI62" s="4" t="str">
        <f t="shared" si="79"/>
        <v/>
      </c>
      <c r="KJ62" s="4" t="str">
        <f t="shared" si="80"/>
        <v/>
      </c>
      <c r="KK62" s="4" t="str">
        <f t="shared" si="81"/>
        <v/>
      </c>
      <c r="KL62" s="4" t="str">
        <f t="shared" si="82"/>
        <v/>
      </c>
      <c r="KM62" s="4" t="str">
        <f t="shared" si="83"/>
        <v/>
      </c>
      <c r="KN62" s="4" t="str">
        <f t="shared" si="84"/>
        <v/>
      </c>
      <c r="KO62" s="4" t="str">
        <f t="shared" si="85"/>
        <v/>
      </c>
      <c r="KP62" s="4" t="str">
        <f t="shared" si="86"/>
        <v/>
      </c>
      <c r="KQ62" s="4" t="str">
        <f t="shared" si="87"/>
        <v/>
      </c>
      <c r="KR62" s="4" t="str">
        <f t="shared" si="88"/>
        <v/>
      </c>
      <c r="KS62" s="4" t="str">
        <f t="shared" si="89"/>
        <v/>
      </c>
      <c r="KT62" s="4" t="str">
        <f t="shared" si="90"/>
        <v/>
      </c>
      <c r="KU62" s="4" t="str">
        <f t="shared" si="91"/>
        <v/>
      </c>
      <c r="KV62" s="4" t="str">
        <f t="shared" si="92"/>
        <v/>
      </c>
      <c r="KW62" s="4" t="str">
        <f t="shared" si="93"/>
        <v/>
      </c>
      <c r="KX62" s="4" t="str">
        <f t="shared" si="94"/>
        <v/>
      </c>
      <c r="KY62" s="4" t="str">
        <f t="shared" si="95"/>
        <v/>
      </c>
      <c r="KZ62" s="4" t="str">
        <f t="shared" si="96"/>
        <v/>
      </c>
      <c r="LA62" s="4" t="str">
        <f t="shared" si="97"/>
        <v/>
      </c>
      <c r="LB62" s="4" t="str">
        <f t="shared" si="98"/>
        <v/>
      </c>
      <c r="LC62" s="4" t="str">
        <f t="shared" si="99"/>
        <v/>
      </c>
      <c r="LD62" s="4" t="str">
        <f t="shared" si="100"/>
        <v/>
      </c>
      <c r="LE62" s="4" t="str">
        <f t="shared" si="101"/>
        <v/>
      </c>
      <c r="LF62" s="4" t="str">
        <f t="shared" si="102"/>
        <v/>
      </c>
      <c r="LG62" s="4" t="str">
        <f t="shared" si="103"/>
        <v/>
      </c>
      <c r="LH62" s="4" t="str">
        <f t="shared" si="104"/>
        <v/>
      </c>
      <c r="LI62" s="4" t="str">
        <f t="shared" si="105"/>
        <v/>
      </c>
      <c r="LJ62" s="4" t="str">
        <f t="shared" si="106"/>
        <v/>
      </c>
      <c r="LK62" s="4" t="str">
        <f t="shared" si="107"/>
        <v/>
      </c>
      <c r="LL62" s="4" t="str">
        <f t="shared" si="108"/>
        <v/>
      </c>
      <c r="LM62" s="4" t="str">
        <f t="shared" si="109"/>
        <v/>
      </c>
      <c r="LN62" s="4" t="str">
        <f t="shared" si="110"/>
        <v/>
      </c>
      <c r="LO62" s="4" t="str">
        <f t="shared" si="111"/>
        <v/>
      </c>
      <c r="LP62" s="4" t="str">
        <f t="shared" si="112"/>
        <v/>
      </c>
      <c r="LQ62" s="4" t="str">
        <f t="shared" si="113"/>
        <v/>
      </c>
      <c r="LR62" s="4" t="str">
        <f t="shared" si="114"/>
        <v/>
      </c>
      <c r="LS62" s="4" t="str">
        <f t="shared" si="115"/>
        <v/>
      </c>
      <c r="LT62" s="4" t="str">
        <f t="shared" si="116"/>
        <v/>
      </c>
      <c r="LU62" s="4" t="str">
        <f t="shared" si="117"/>
        <v/>
      </c>
      <c r="LV62" s="4" t="str">
        <f t="shared" si="118"/>
        <v/>
      </c>
      <c r="LW62" s="4" t="str">
        <f t="shared" si="119"/>
        <v/>
      </c>
      <c r="LX62" s="4" t="str">
        <f t="shared" si="120"/>
        <v/>
      </c>
      <c r="LY62" s="4" t="str">
        <f t="shared" si="121"/>
        <v/>
      </c>
      <c r="LZ62" s="4" t="str">
        <f t="shared" si="122"/>
        <v/>
      </c>
      <c r="MA62" s="4" t="str">
        <f t="shared" si="123"/>
        <v/>
      </c>
      <c r="MB62" s="4" t="str">
        <f t="shared" si="124"/>
        <v/>
      </c>
      <c r="MC62" s="4" t="str">
        <f t="shared" si="125"/>
        <v/>
      </c>
      <c r="MD62" s="4" t="str">
        <f t="shared" si="126"/>
        <v/>
      </c>
      <c r="ME62" s="4" t="str">
        <f t="shared" si="127"/>
        <v/>
      </c>
      <c r="MF62" s="4" t="str">
        <f t="shared" si="128"/>
        <v/>
      </c>
      <c r="MG62" s="4" t="str">
        <f t="shared" si="129"/>
        <v/>
      </c>
      <c r="MH62" s="4" t="str">
        <f t="shared" si="130"/>
        <v/>
      </c>
      <c r="MI62" s="4" t="str">
        <f t="shared" si="131"/>
        <v/>
      </c>
      <c r="MJ62" s="4" t="str">
        <f t="shared" si="132"/>
        <v/>
      </c>
      <c r="MK62" s="4" t="str">
        <f t="shared" si="133"/>
        <v/>
      </c>
      <c r="ML62" s="4" t="str">
        <f t="shared" si="134"/>
        <v/>
      </c>
      <c r="MM62" s="4" t="str">
        <f t="shared" si="135"/>
        <v/>
      </c>
      <c r="MN62" s="4" t="str">
        <f t="shared" si="136"/>
        <v/>
      </c>
      <c r="MO62" s="4" t="str">
        <f t="shared" si="137"/>
        <v/>
      </c>
      <c r="MP62" s="4" t="str">
        <f t="shared" si="138"/>
        <v/>
      </c>
      <c r="MQ62" s="4" t="str">
        <f t="shared" si="139"/>
        <v/>
      </c>
      <c r="MR62" s="4" t="str">
        <f t="shared" si="140"/>
        <v/>
      </c>
      <c r="MS62" s="4" t="str">
        <f t="shared" si="141"/>
        <v/>
      </c>
      <c r="MT62" s="4" t="str">
        <f t="shared" si="142"/>
        <v/>
      </c>
      <c r="MU62" s="4" t="str">
        <f t="shared" si="143"/>
        <v/>
      </c>
      <c r="MV62" s="4" t="str">
        <f t="shared" si="144"/>
        <v/>
      </c>
      <c r="MW62" s="4" t="str">
        <f t="shared" si="145"/>
        <v/>
      </c>
      <c r="MX62" s="4" t="str">
        <f t="shared" si="146"/>
        <v/>
      </c>
      <c r="MY62" s="4" t="str">
        <f t="shared" si="147"/>
        <v/>
      </c>
      <c r="MZ62" s="4" t="str">
        <f t="shared" si="148"/>
        <v/>
      </c>
      <c r="NA62" s="4" t="str">
        <f t="shared" si="149"/>
        <v/>
      </c>
      <c r="NB62" s="4" t="str">
        <f t="shared" si="150"/>
        <v/>
      </c>
      <c r="NC62" s="4" t="str">
        <f t="shared" si="151"/>
        <v/>
      </c>
      <c r="ND62" s="4" t="str">
        <f t="shared" si="152"/>
        <v/>
      </c>
      <c r="NE62" s="4" t="str">
        <f t="shared" si="153"/>
        <v/>
      </c>
      <c r="NF62" s="4" t="str">
        <f t="shared" si="154"/>
        <v/>
      </c>
      <c r="NG62" s="4" t="str">
        <f t="shared" si="155"/>
        <v/>
      </c>
      <c r="NH62" s="4" t="str">
        <f t="shared" si="156"/>
        <v/>
      </c>
      <c r="NI62" s="4" t="str">
        <f t="shared" si="157"/>
        <v/>
      </c>
      <c r="NJ62" s="4" t="str">
        <f t="shared" si="158"/>
        <v/>
      </c>
      <c r="NK62" s="4" t="str">
        <f t="shared" si="159"/>
        <v/>
      </c>
      <c r="NL62" s="4" t="str">
        <f t="shared" si="160"/>
        <v/>
      </c>
      <c r="NM62" s="4" t="str">
        <f t="shared" si="161"/>
        <v/>
      </c>
      <c r="NN62" s="4" t="str">
        <f t="shared" si="162"/>
        <v/>
      </c>
      <c r="NO62" s="4" t="str">
        <f t="shared" si="163"/>
        <v/>
      </c>
      <c r="NP62" s="4" t="str">
        <f t="shared" si="164"/>
        <v/>
      </c>
      <c r="NQ62" s="4" t="str">
        <f t="shared" si="165"/>
        <v/>
      </c>
      <c r="NR62" s="4" t="str">
        <f t="shared" si="166"/>
        <v/>
      </c>
      <c r="NS62" s="4" t="str">
        <f t="shared" si="167"/>
        <v/>
      </c>
      <c r="NT62" s="4" t="str">
        <f t="shared" si="168"/>
        <v/>
      </c>
      <c r="NU62" s="4" t="str">
        <f t="shared" si="169"/>
        <v/>
      </c>
      <c r="NV62" s="4" t="str">
        <f t="shared" si="170"/>
        <v/>
      </c>
      <c r="NW62" s="4" t="str">
        <f t="shared" si="171"/>
        <v/>
      </c>
      <c r="NX62" s="4" t="str">
        <f t="shared" si="172"/>
        <v/>
      </c>
      <c r="NY62" s="4" t="str">
        <f t="shared" si="173"/>
        <v/>
      </c>
      <c r="NZ62" s="4" t="str">
        <f t="shared" si="174"/>
        <v/>
      </c>
      <c r="OA62" s="4" t="str">
        <f t="shared" si="175"/>
        <v/>
      </c>
      <c r="OB62" s="4" t="str">
        <f t="shared" si="176"/>
        <v/>
      </c>
      <c r="OC62" s="4" t="str">
        <f t="shared" si="177"/>
        <v/>
      </c>
      <c r="OD62" s="4" t="str">
        <f t="shared" si="178"/>
        <v/>
      </c>
      <c r="OE62" s="4" t="str">
        <f t="shared" si="179"/>
        <v/>
      </c>
      <c r="OF62" s="4" t="str">
        <f t="shared" si="180"/>
        <v/>
      </c>
      <c r="OG62" s="4" t="str">
        <f t="shared" si="181"/>
        <v/>
      </c>
      <c r="OH62" s="4" t="str">
        <f t="shared" si="182"/>
        <v/>
      </c>
      <c r="OI62" s="4" t="str">
        <f t="shared" si="183"/>
        <v/>
      </c>
      <c r="OJ62" s="4" t="str">
        <f t="shared" si="184"/>
        <v/>
      </c>
      <c r="OK62" s="4" t="str">
        <f t="shared" si="185"/>
        <v/>
      </c>
      <c r="OL62" s="4" t="str">
        <f t="shared" si="186"/>
        <v/>
      </c>
      <c r="OM62" s="4" t="str">
        <f t="shared" si="187"/>
        <v/>
      </c>
      <c r="ON62" s="4" t="str">
        <f t="shared" si="188"/>
        <v/>
      </c>
      <c r="OO62" s="4" t="str">
        <f t="shared" si="189"/>
        <v/>
      </c>
      <c r="OP62" s="4" t="str">
        <f t="shared" si="190"/>
        <v/>
      </c>
      <c r="OQ62" s="4" t="str">
        <f t="shared" si="191"/>
        <v/>
      </c>
      <c r="OR62" s="4" t="str">
        <f t="shared" si="192"/>
        <v/>
      </c>
      <c r="OS62" s="4" t="str">
        <f t="shared" si="193"/>
        <v/>
      </c>
      <c r="OT62" s="4" t="str">
        <f t="shared" si="194"/>
        <v/>
      </c>
      <c r="OU62" s="4" t="str">
        <f t="shared" si="195"/>
        <v/>
      </c>
      <c r="OV62" s="4" t="str">
        <f t="shared" si="196"/>
        <v/>
      </c>
      <c r="OW62" s="4" t="str">
        <f t="shared" si="197"/>
        <v/>
      </c>
      <c r="OX62" s="4" t="str">
        <f t="shared" si="198"/>
        <v/>
      </c>
      <c r="OY62" s="4" t="str">
        <f t="shared" si="199"/>
        <v/>
      </c>
      <c r="OZ62" s="4" t="str">
        <f t="shared" si="200"/>
        <v/>
      </c>
      <c r="PA62" s="4" t="str">
        <f t="shared" si="201"/>
        <v/>
      </c>
      <c r="PB62" s="4" t="str">
        <f t="shared" si="202"/>
        <v/>
      </c>
      <c r="PC62" s="4" t="str">
        <f t="shared" si="203"/>
        <v/>
      </c>
      <c r="PD62" s="4" t="str">
        <f t="shared" si="204"/>
        <v/>
      </c>
      <c r="PE62" s="4" t="str">
        <f t="shared" si="205"/>
        <v/>
      </c>
      <c r="PF62" s="4" t="str">
        <f t="shared" si="206"/>
        <v/>
      </c>
      <c r="PG62" s="4" t="str">
        <f t="shared" si="207"/>
        <v/>
      </c>
      <c r="PH62" s="4" t="str">
        <f t="shared" si="208"/>
        <v/>
      </c>
      <c r="PI62" s="4" t="str">
        <f t="shared" si="209"/>
        <v/>
      </c>
      <c r="PJ62" s="4" t="str">
        <f t="shared" si="210"/>
        <v/>
      </c>
      <c r="PK62" s="4" t="str">
        <f t="shared" si="211"/>
        <v/>
      </c>
      <c r="PL62" s="4" t="str">
        <f t="shared" si="212"/>
        <v/>
      </c>
      <c r="PM62" s="4" t="str">
        <f t="shared" si="213"/>
        <v/>
      </c>
      <c r="PN62" s="4" t="str">
        <f t="shared" si="214"/>
        <v/>
      </c>
      <c r="PO62" s="4" t="str">
        <f t="shared" si="215"/>
        <v/>
      </c>
      <c r="PP62" s="4" t="str">
        <f t="shared" si="216"/>
        <v/>
      </c>
      <c r="PQ62" s="4" t="str">
        <f t="shared" si="217"/>
        <v/>
      </c>
      <c r="PR62" s="4" t="str">
        <f t="shared" si="218"/>
        <v/>
      </c>
      <c r="PS62" s="4" t="str">
        <f t="shared" si="219"/>
        <v/>
      </c>
    </row>
    <row r="63">
      <c r="HI63" s="4" t="str">
        <f t="shared" si="2"/>
        <v/>
      </c>
      <c r="HJ63" s="4" t="str">
        <f t="shared" si="3"/>
        <v/>
      </c>
      <c r="HK63" s="4" t="str">
        <f t="shared" si="4"/>
        <v/>
      </c>
      <c r="HL63" s="4" t="str">
        <f t="shared" si="5"/>
        <v/>
      </c>
      <c r="HM63" s="4" t="str">
        <f t="shared" si="6"/>
        <v/>
      </c>
      <c r="HN63" s="4" t="str">
        <f t="shared" si="7"/>
        <v/>
      </c>
      <c r="HO63" s="4" t="str">
        <f t="shared" si="8"/>
        <v/>
      </c>
      <c r="HP63" s="4" t="str">
        <f t="shared" si="9"/>
        <v/>
      </c>
      <c r="HQ63" s="4" t="str">
        <f t="shared" si="10"/>
        <v/>
      </c>
      <c r="HR63" s="4" t="str">
        <f t="shared" si="11"/>
        <v/>
      </c>
      <c r="HS63" s="4" t="str">
        <f t="shared" si="12"/>
        <v/>
      </c>
      <c r="HT63" s="4" t="str">
        <f t="shared" si="13"/>
        <v/>
      </c>
      <c r="HU63" s="4" t="str">
        <f t="shared" si="14"/>
        <v/>
      </c>
      <c r="HV63" s="4" t="str">
        <f t="shared" si="15"/>
        <v/>
      </c>
      <c r="HW63" s="4" t="str">
        <f t="shared" si="16"/>
        <v/>
      </c>
      <c r="HX63" s="4" t="str">
        <f t="shared" si="17"/>
        <v/>
      </c>
      <c r="HY63" s="4" t="str">
        <f t="shared" si="18"/>
        <v/>
      </c>
      <c r="HZ63" s="4" t="str">
        <f t="shared" si="19"/>
        <v/>
      </c>
      <c r="IA63" s="4" t="str">
        <f t="shared" si="20"/>
        <v/>
      </c>
      <c r="IB63" s="4" t="str">
        <f t="shared" si="21"/>
        <v/>
      </c>
      <c r="IC63" s="4" t="str">
        <f t="shared" si="22"/>
        <v/>
      </c>
      <c r="ID63" s="4" t="str">
        <f t="shared" si="23"/>
        <v/>
      </c>
      <c r="IE63" s="4" t="str">
        <f t="shared" si="24"/>
        <v/>
      </c>
      <c r="IF63" s="4" t="str">
        <f t="shared" si="25"/>
        <v/>
      </c>
      <c r="IG63" s="4" t="str">
        <f t="shared" si="26"/>
        <v/>
      </c>
      <c r="IH63" s="4" t="str">
        <f t="shared" si="27"/>
        <v/>
      </c>
      <c r="II63" s="4" t="str">
        <f t="shared" si="28"/>
        <v/>
      </c>
      <c r="IJ63" s="4" t="str">
        <f t="shared" si="29"/>
        <v/>
      </c>
      <c r="IK63" s="4" t="str">
        <f t="shared" si="30"/>
        <v/>
      </c>
      <c r="IL63" s="4" t="str">
        <f t="shared" si="31"/>
        <v/>
      </c>
      <c r="IM63" s="4" t="str">
        <f t="shared" si="32"/>
        <v/>
      </c>
      <c r="IN63" s="4" t="str">
        <f t="shared" si="33"/>
        <v/>
      </c>
      <c r="IO63" s="4" t="str">
        <f t="shared" si="34"/>
        <v/>
      </c>
      <c r="IP63" s="4" t="str">
        <f t="shared" si="35"/>
        <v/>
      </c>
      <c r="IQ63" s="4" t="str">
        <f t="shared" si="36"/>
        <v/>
      </c>
      <c r="IR63" s="4" t="str">
        <f t="shared" si="37"/>
        <v/>
      </c>
      <c r="IS63" s="4" t="str">
        <f t="shared" si="38"/>
        <v/>
      </c>
      <c r="IT63" s="4" t="str">
        <f t="shared" si="39"/>
        <v/>
      </c>
      <c r="IU63" s="4" t="str">
        <f t="shared" si="40"/>
        <v/>
      </c>
      <c r="IV63" s="4" t="str">
        <f t="shared" si="41"/>
        <v/>
      </c>
      <c r="IW63" s="4" t="str">
        <f t="shared" si="42"/>
        <v/>
      </c>
      <c r="IX63" s="4" t="str">
        <f t="shared" si="43"/>
        <v/>
      </c>
      <c r="IY63" s="4" t="str">
        <f t="shared" si="44"/>
        <v/>
      </c>
      <c r="IZ63" s="4" t="str">
        <f t="shared" si="45"/>
        <v/>
      </c>
      <c r="JA63" s="4" t="str">
        <f t="shared" ref="JA63:JB63" si="279">if(ISERROR(SEARCH("Higher Education",BB63)),"","810")</f>
        <v/>
      </c>
      <c r="JB63" s="4" t="str">
        <f t="shared" si="279"/>
        <v/>
      </c>
      <c r="JC63" s="4" t="str">
        <f t="shared" si="47"/>
        <v/>
      </c>
      <c r="JD63" s="4" t="str">
        <f t="shared" si="48"/>
        <v/>
      </c>
      <c r="JE63" s="4" t="str">
        <f t="shared" si="49"/>
        <v/>
      </c>
      <c r="JF63" s="4" t="str">
        <f t="shared" si="50"/>
        <v/>
      </c>
      <c r="JG63" s="4" t="str">
        <f t="shared" si="51"/>
        <v/>
      </c>
      <c r="JH63" s="4" t="str">
        <f t="shared" si="52"/>
        <v/>
      </c>
      <c r="JI63" s="4" t="str">
        <f t="shared" si="53"/>
        <v/>
      </c>
      <c r="JJ63" s="4" t="str">
        <f t="shared" si="54"/>
        <v/>
      </c>
      <c r="JK63" s="4" t="str">
        <f t="shared" si="55"/>
        <v/>
      </c>
      <c r="JL63" s="4" t="str">
        <f t="shared" si="56"/>
        <v/>
      </c>
      <c r="JM63" s="4" t="str">
        <f t="shared" si="57"/>
        <v/>
      </c>
      <c r="JN63" s="4" t="str">
        <f t="shared" si="58"/>
        <v/>
      </c>
      <c r="JO63" s="4" t="str">
        <f t="shared" si="59"/>
        <v/>
      </c>
      <c r="JP63" s="4" t="str">
        <f t="shared" si="60"/>
        <v/>
      </c>
      <c r="JQ63" s="4" t="str">
        <f t="shared" si="61"/>
        <v/>
      </c>
      <c r="JR63" s="4" t="str">
        <f t="shared" si="62"/>
        <v/>
      </c>
      <c r="JS63" s="4" t="str">
        <f t="shared" si="63"/>
        <v/>
      </c>
      <c r="JT63" s="4" t="str">
        <f t="shared" si="64"/>
        <v/>
      </c>
      <c r="JU63" s="4" t="str">
        <f t="shared" si="65"/>
        <v/>
      </c>
      <c r="JV63" s="4" t="str">
        <f t="shared" si="66"/>
        <v/>
      </c>
      <c r="JW63" s="4" t="str">
        <f t="shared" si="67"/>
        <v/>
      </c>
      <c r="JX63" s="4" t="str">
        <f t="shared" si="68"/>
        <v/>
      </c>
      <c r="JY63" s="4" t="str">
        <f t="shared" si="69"/>
        <v/>
      </c>
      <c r="JZ63" s="4" t="str">
        <f t="shared" si="70"/>
        <v/>
      </c>
      <c r="KA63" s="4" t="str">
        <f t="shared" si="71"/>
        <v/>
      </c>
      <c r="KB63" s="4" t="str">
        <f t="shared" si="72"/>
        <v/>
      </c>
      <c r="KC63" s="4" t="str">
        <f t="shared" si="73"/>
        <v/>
      </c>
      <c r="KD63" s="4" t="str">
        <f t="shared" si="74"/>
        <v/>
      </c>
      <c r="KE63" s="4" t="str">
        <f t="shared" si="75"/>
        <v/>
      </c>
      <c r="KF63" s="4" t="str">
        <f t="shared" si="76"/>
        <v/>
      </c>
      <c r="KG63" s="4" t="str">
        <f t="shared" si="77"/>
        <v/>
      </c>
      <c r="KH63" s="4" t="str">
        <f t="shared" si="78"/>
        <v/>
      </c>
      <c r="KI63" s="4" t="str">
        <f t="shared" si="79"/>
        <v/>
      </c>
      <c r="KJ63" s="4" t="str">
        <f t="shared" si="80"/>
        <v/>
      </c>
      <c r="KK63" s="4" t="str">
        <f t="shared" si="81"/>
        <v/>
      </c>
      <c r="KL63" s="4" t="str">
        <f t="shared" si="82"/>
        <v/>
      </c>
      <c r="KM63" s="4" t="str">
        <f t="shared" si="83"/>
        <v/>
      </c>
      <c r="KN63" s="4" t="str">
        <f t="shared" si="84"/>
        <v/>
      </c>
      <c r="KO63" s="4" t="str">
        <f t="shared" si="85"/>
        <v/>
      </c>
      <c r="KP63" s="4" t="str">
        <f t="shared" si="86"/>
        <v/>
      </c>
      <c r="KQ63" s="4" t="str">
        <f t="shared" si="87"/>
        <v/>
      </c>
      <c r="KR63" s="4" t="str">
        <f t="shared" si="88"/>
        <v/>
      </c>
      <c r="KS63" s="4" t="str">
        <f t="shared" si="89"/>
        <v/>
      </c>
      <c r="KT63" s="4" t="str">
        <f t="shared" si="90"/>
        <v/>
      </c>
      <c r="KU63" s="4" t="str">
        <f t="shared" si="91"/>
        <v/>
      </c>
      <c r="KV63" s="4" t="str">
        <f t="shared" si="92"/>
        <v/>
      </c>
      <c r="KW63" s="4" t="str">
        <f t="shared" si="93"/>
        <v/>
      </c>
      <c r="KX63" s="4" t="str">
        <f t="shared" si="94"/>
        <v/>
      </c>
      <c r="KY63" s="4" t="str">
        <f t="shared" si="95"/>
        <v/>
      </c>
      <c r="KZ63" s="4" t="str">
        <f t="shared" si="96"/>
        <v/>
      </c>
      <c r="LA63" s="4" t="str">
        <f t="shared" si="97"/>
        <v/>
      </c>
      <c r="LB63" s="4" t="str">
        <f t="shared" si="98"/>
        <v/>
      </c>
      <c r="LC63" s="4" t="str">
        <f t="shared" si="99"/>
        <v/>
      </c>
      <c r="LD63" s="4" t="str">
        <f t="shared" si="100"/>
        <v/>
      </c>
      <c r="LE63" s="4" t="str">
        <f t="shared" si="101"/>
        <v/>
      </c>
      <c r="LF63" s="4" t="str">
        <f t="shared" si="102"/>
        <v/>
      </c>
      <c r="LG63" s="4" t="str">
        <f t="shared" si="103"/>
        <v/>
      </c>
      <c r="LH63" s="4" t="str">
        <f t="shared" si="104"/>
        <v/>
      </c>
      <c r="LI63" s="4" t="str">
        <f t="shared" si="105"/>
        <v/>
      </c>
      <c r="LJ63" s="4" t="str">
        <f t="shared" si="106"/>
        <v/>
      </c>
      <c r="LK63" s="4" t="str">
        <f t="shared" si="107"/>
        <v/>
      </c>
      <c r="LL63" s="4" t="str">
        <f t="shared" si="108"/>
        <v/>
      </c>
      <c r="LM63" s="4" t="str">
        <f t="shared" si="109"/>
        <v/>
      </c>
      <c r="LN63" s="4" t="str">
        <f t="shared" si="110"/>
        <v/>
      </c>
      <c r="LO63" s="4" t="str">
        <f t="shared" si="111"/>
        <v/>
      </c>
      <c r="LP63" s="4" t="str">
        <f t="shared" si="112"/>
        <v/>
      </c>
      <c r="LQ63" s="4" t="str">
        <f t="shared" si="113"/>
        <v/>
      </c>
      <c r="LR63" s="4" t="str">
        <f t="shared" si="114"/>
        <v/>
      </c>
      <c r="LS63" s="4" t="str">
        <f t="shared" si="115"/>
        <v/>
      </c>
      <c r="LT63" s="4" t="str">
        <f t="shared" si="116"/>
        <v/>
      </c>
      <c r="LU63" s="4" t="str">
        <f t="shared" si="117"/>
        <v/>
      </c>
      <c r="LV63" s="4" t="str">
        <f t="shared" si="118"/>
        <v/>
      </c>
      <c r="LW63" s="4" t="str">
        <f t="shared" si="119"/>
        <v/>
      </c>
      <c r="LX63" s="4" t="str">
        <f t="shared" si="120"/>
        <v/>
      </c>
      <c r="LY63" s="4" t="str">
        <f t="shared" si="121"/>
        <v/>
      </c>
      <c r="LZ63" s="4" t="str">
        <f t="shared" si="122"/>
        <v/>
      </c>
      <c r="MA63" s="4" t="str">
        <f t="shared" si="123"/>
        <v/>
      </c>
      <c r="MB63" s="4" t="str">
        <f t="shared" si="124"/>
        <v/>
      </c>
      <c r="MC63" s="4" t="str">
        <f t="shared" si="125"/>
        <v/>
      </c>
      <c r="MD63" s="4" t="str">
        <f t="shared" si="126"/>
        <v/>
      </c>
      <c r="ME63" s="4" t="str">
        <f t="shared" si="127"/>
        <v/>
      </c>
      <c r="MF63" s="4" t="str">
        <f t="shared" si="128"/>
        <v/>
      </c>
      <c r="MG63" s="4" t="str">
        <f t="shared" si="129"/>
        <v/>
      </c>
      <c r="MH63" s="4" t="str">
        <f t="shared" si="130"/>
        <v/>
      </c>
      <c r="MI63" s="4" t="str">
        <f t="shared" si="131"/>
        <v/>
      </c>
      <c r="MJ63" s="4" t="str">
        <f t="shared" si="132"/>
        <v/>
      </c>
      <c r="MK63" s="4" t="str">
        <f t="shared" si="133"/>
        <v/>
      </c>
      <c r="ML63" s="4" t="str">
        <f t="shared" si="134"/>
        <v/>
      </c>
      <c r="MM63" s="4" t="str">
        <f t="shared" si="135"/>
        <v/>
      </c>
      <c r="MN63" s="4" t="str">
        <f t="shared" si="136"/>
        <v/>
      </c>
      <c r="MO63" s="4" t="str">
        <f t="shared" si="137"/>
        <v/>
      </c>
      <c r="MP63" s="4" t="str">
        <f t="shared" si="138"/>
        <v/>
      </c>
      <c r="MQ63" s="4" t="str">
        <f t="shared" si="139"/>
        <v/>
      </c>
      <c r="MR63" s="4" t="str">
        <f t="shared" si="140"/>
        <v/>
      </c>
      <c r="MS63" s="4" t="str">
        <f t="shared" si="141"/>
        <v/>
      </c>
      <c r="MT63" s="4" t="str">
        <f t="shared" si="142"/>
        <v/>
      </c>
      <c r="MU63" s="4" t="str">
        <f t="shared" si="143"/>
        <v/>
      </c>
      <c r="MV63" s="4" t="str">
        <f t="shared" si="144"/>
        <v/>
      </c>
      <c r="MW63" s="4" t="str">
        <f t="shared" si="145"/>
        <v/>
      </c>
      <c r="MX63" s="4" t="str">
        <f t="shared" si="146"/>
        <v/>
      </c>
      <c r="MY63" s="4" t="str">
        <f t="shared" si="147"/>
        <v/>
      </c>
      <c r="MZ63" s="4" t="str">
        <f t="shared" si="148"/>
        <v/>
      </c>
      <c r="NA63" s="4" t="str">
        <f t="shared" si="149"/>
        <v/>
      </c>
      <c r="NB63" s="4" t="str">
        <f t="shared" si="150"/>
        <v/>
      </c>
      <c r="NC63" s="4" t="str">
        <f t="shared" si="151"/>
        <v/>
      </c>
      <c r="ND63" s="4" t="str">
        <f t="shared" si="152"/>
        <v/>
      </c>
      <c r="NE63" s="4" t="str">
        <f t="shared" si="153"/>
        <v/>
      </c>
      <c r="NF63" s="4" t="str">
        <f t="shared" si="154"/>
        <v/>
      </c>
      <c r="NG63" s="4" t="str">
        <f t="shared" si="155"/>
        <v/>
      </c>
      <c r="NH63" s="4" t="str">
        <f t="shared" si="156"/>
        <v/>
      </c>
      <c r="NI63" s="4" t="str">
        <f t="shared" si="157"/>
        <v/>
      </c>
      <c r="NJ63" s="4" t="str">
        <f t="shared" si="158"/>
        <v/>
      </c>
      <c r="NK63" s="4" t="str">
        <f t="shared" si="159"/>
        <v/>
      </c>
      <c r="NL63" s="4" t="str">
        <f t="shared" si="160"/>
        <v/>
      </c>
      <c r="NM63" s="4" t="str">
        <f t="shared" si="161"/>
        <v/>
      </c>
      <c r="NN63" s="4" t="str">
        <f t="shared" si="162"/>
        <v/>
      </c>
      <c r="NO63" s="4" t="str">
        <f t="shared" si="163"/>
        <v/>
      </c>
      <c r="NP63" s="4" t="str">
        <f t="shared" si="164"/>
        <v/>
      </c>
      <c r="NQ63" s="4" t="str">
        <f t="shared" si="165"/>
        <v/>
      </c>
      <c r="NR63" s="4" t="str">
        <f t="shared" si="166"/>
        <v/>
      </c>
      <c r="NS63" s="4" t="str">
        <f t="shared" si="167"/>
        <v/>
      </c>
      <c r="NT63" s="4" t="str">
        <f t="shared" si="168"/>
        <v/>
      </c>
      <c r="NU63" s="4" t="str">
        <f t="shared" si="169"/>
        <v/>
      </c>
      <c r="NV63" s="4" t="str">
        <f t="shared" si="170"/>
        <v/>
      </c>
      <c r="NW63" s="4" t="str">
        <f t="shared" si="171"/>
        <v/>
      </c>
      <c r="NX63" s="4" t="str">
        <f t="shared" si="172"/>
        <v/>
      </c>
      <c r="NY63" s="4" t="str">
        <f t="shared" si="173"/>
        <v/>
      </c>
      <c r="NZ63" s="4" t="str">
        <f t="shared" si="174"/>
        <v/>
      </c>
      <c r="OA63" s="4" t="str">
        <f t="shared" si="175"/>
        <v/>
      </c>
      <c r="OB63" s="4" t="str">
        <f t="shared" si="176"/>
        <v/>
      </c>
      <c r="OC63" s="4" t="str">
        <f t="shared" si="177"/>
        <v/>
      </c>
      <c r="OD63" s="4" t="str">
        <f t="shared" si="178"/>
        <v/>
      </c>
      <c r="OE63" s="4" t="str">
        <f t="shared" si="179"/>
        <v/>
      </c>
      <c r="OF63" s="4" t="str">
        <f t="shared" si="180"/>
        <v/>
      </c>
      <c r="OG63" s="4" t="str">
        <f t="shared" si="181"/>
        <v/>
      </c>
      <c r="OH63" s="4" t="str">
        <f t="shared" si="182"/>
        <v/>
      </c>
      <c r="OI63" s="4" t="str">
        <f t="shared" si="183"/>
        <v/>
      </c>
      <c r="OJ63" s="4" t="str">
        <f t="shared" si="184"/>
        <v/>
      </c>
      <c r="OK63" s="4" t="str">
        <f t="shared" si="185"/>
        <v/>
      </c>
      <c r="OL63" s="4" t="str">
        <f t="shared" si="186"/>
        <v/>
      </c>
      <c r="OM63" s="4" t="str">
        <f t="shared" si="187"/>
        <v/>
      </c>
      <c r="ON63" s="4" t="str">
        <f t="shared" si="188"/>
        <v/>
      </c>
      <c r="OO63" s="4" t="str">
        <f t="shared" si="189"/>
        <v/>
      </c>
      <c r="OP63" s="4" t="str">
        <f t="shared" si="190"/>
        <v/>
      </c>
      <c r="OQ63" s="4" t="str">
        <f t="shared" si="191"/>
        <v/>
      </c>
      <c r="OR63" s="4" t="str">
        <f t="shared" si="192"/>
        <v/>
      </c>
      <c r="OS63" s="4" t="str">
        <f t="shared" si="193"/>
        <v/>
      </c>
      <c r="OT63" s="4" t="str">
        <f t="shared" si="194"/>
        <v/>
      </c>
      <c r="OU63" s="4" t="str">
        <f t="shared" si="195"/>
        <v/>
      </c>
      <c r="OV63" s="4" t="str">
        <f t="shared" si="196"/>
        <v/>
      </c>
      <c r="OW63" s="4" t="str">
        <f t="shared" si="197"/>
        <v/>
      </c>
      <c r="OX63" s="4" t="str">
        <f t="shared" si="198"/>
        <v/>
      </c>
      <c r="OY63" s="4" t="str">
        <f t="shared" si="199"/>
        <v/>
      </c>
      <c r="OZ63" s="4" t="str">
        <f t="shared" si="200"/>
        <v/>
      </c>
      <c r="PA63" s="4" t="str">
        <f t="shared" si="201"/>
        <v/>
      </c>
      <c r="PB63" s="4" t="str">
        <f t="shared" si="202"/>
        <v/>
      </c>
      <c r="PC63" s="4" t="str">
        <f t="shared" si="203"/>
        <v/>
      </c>
      <c r="PD63" s="4" t="str">
        <f t="shared" si="204"/>
        <v/>
      </c>
      <c r="PE63" s="4" t="str">
        <f t="shared" si="205"/>
        <v/>
      </c>
      <c r="PF63" s="4" t="str">
        <f t="shared" si="206"/>
        <v/>
      </c>
      <c r="PG63" s="4" t="str">
        <f t="shared" si="207"/>
        <v/>
      </c>
      <c r="PH63" s="4" t="str">
        <f t="shared" si="208"/>
        <v/>
      </c>
      <c r="PI63" s="4" t="str">
        <f t="shared" si="209"/>
        <v/>
      </c>
      <c r="PJ63" s="4" t="str">
        <f t="shared" si="210"/>
        <v/>
      </c>
      <c r="PK63" s="4" t="str">
        <f t="shared" si="211"/>
        <v/>
      </c>
      <c r="PL63" s="4" t="str">
        <f t="shared" si="212"/>
        <v/>
      </c>
      <c r="PM63" s="4" t="str">
        <f t="shared" si="213"/>
        <v/>
      </c>
      <c r="PN63" s="4" t="str">
        <f t="shared" si="214"/>
        <v/>
      </c>
      <c r="PO63" s="4" t="str">
        <f t="shared" si="215"/>
        <v/>
      </c>
      <c r="PP63" s="4" t="str">
        <f t="shared" si="216"/>
        <v/>
      </c>
      <c r="PQ63" s="4" t="str">
        <f t="shared" si="217"/>
        <v/>
      </c>
      <c r="PR63" s="4" t="str">
        <f t="shared" si="218"/>
        <v/>
      </c>
      <c r="PS63" s="4" t="str">
        <f t="shared" si="219"/>
        <v/>
      </c>
    </row>
    <row r="64">
      <c r="HI64" s="4" t="str">
        <f t="shared" si="2"/>
        <v/>
      </c>
      <c r="HJ64" s="4" t="str">
        <f t="shared" si="3"/>
        <v/>
      </c>
      <c r="HK64" s="4" t="str">
        <f t="shared" si="4"/>
        <v/>
      </c>
      <c r="HL64" s="4" t="str">
        <f t="shared" si="5"/>
        <v/>
      </c>
      <c r="HM64" s="4" t="str">
        <f t="shared" si="6"/>
        <v/>
      </c>
      <c r="HN64" s="4" t="str">
        <f t="shared" si="7"/>
        <v/>
      </c>
      <c r="HO64" s="4" t="str">
        <f t="shared" si="8"/>
        <v/>
      </c>
      <c r="HP64" s="4" t="str">
        <f t="shared" si="9"/>
        <v/>
      </c>
      <c r="HQ64" s="4" t="str">
        <f t="shared" si="10"/>
        <v/>
      </c>
      <c r="HR64" s="4" t="str">
        <f t="shared" si="11"/>
        <v/>
      </c>
      <c r="HS64" s="4" t="str">
        <f t="shared" si="12"/>
        <v/>
      </c>
      <c r="HT64" s="4" t="str">
        <f t="shared" si="13"/>
        <v/>
      </c>
      <c r="HU64" s="4" t="str">
        <f t="shared" si="14"/>
        <v/>
      </c>
      <c r="HV64" s="4" t="str">
        <f t="shared" si="15"/>
        <v/>
      </c>
      <c r="HW64" s="4" t="str">
        <f t="shared" si="16"/>
        <v/>
      </c>
      <c r="HX64" s="4" t="str">
        <f t="shared" si="17"/>
        <v/>
      </c>
      <c r="HY64" s="4" t="str">
        <f t="shared" si="18"/>
        <v/>
      </c>
      <c r="HZ64" s="4" t="str">
        <f t="shared" si="19"/>
        <v/>
      </c>
      <c r="IA64" s="4" t="str">
        <f t="shared" si="20"/>
        <v/>
      </c>
      <c r="IB64" s="4" t="str">
        <f t="shared" si="21"/>
        <v/>
      </c>
      <c r="IC64" s="4" t="str">
        <f t="shared" si="22"/>
        <v/>
      </c>
      <c r="ID64" s="4" t="str">
        <f t="shared" si="23"/>
        <v/>
      </c>
      <c r="IE64" s="4" t="str">
        <f t="shared" si="24"/>
        <v/>
      </c>
      <c r="IF64" s="4" t="str">
        <f t="shared" si="25"/>
        <v/>
      </c>
      <c r="IG64" s="4" t="str">
        <f t="shared" si="26"/>
        <v/>
      </c>
      <c r="IH64" s="4" t="str">
        <f t="shared" si="27"/>
        <v/>
      </c>
      <c r="II64" s="4" t="str">
        <f t="shared" si="28"/>
        <v/>
      </c>
      <c r="IJ64" s="4" t="str">
        <f t="shared" si="29"/>
        <v/>
      </c>
      <c r="IK64" s="4" t="str">
        <f t="shared" si="30"/>
        <v/>
      </c>
      <c r="IL64" s="4" t="str">
        <f t="shared" si="31"/>
        <v/>
      </c>
      <c r="IM64" s="4" t="str">
        <f t="shared" si="32"/>
        <v/>
      </c>
      <c r="IN64" s="4" t="str">
        <f t="shared" si="33"/>
        <v/>
      </c>
      <c r="IO64" s="4" t="str">
        <f t="shared" si="34"/>
        <v/>
      </c>
      <c r="IP64" s="4" t="str">
        <f t="shared" si="35"/>
        <v/>
      </c>
      <c r="IQ64" s="4" t="str">
        <f t="shared" si="36"/>
        <v/>
      </c>
      <c r="IR64" s="4" t="str">
        <f t="shared" si="37"/>
        <v/>
      </c>
      <c r="IS64" s="4" t="str">
        <f t="shared" si="38"/>
        <v/>
      </c>
      <c r="IT64" s="4" t="str">
        <f t="shared" si="39"/>
        <v/>
      </c>
      <c r="IU64" s="4" t="str">
        <f t="shared" si="40"/>
        <v/>
      </c>
      <c r="IV64" s="4" t="str">
        <f t="shared" si="41"/>
        <v/>
      </c>
      <c r="IW64" s="4" t="str">
        <f t="shared" si="42"/>
        <v/>
      </c>
      <c r="IX64" s="4" t="str">
        <f t="shared" si="43"/>
        <v/>
      </c>
      <c r="IY64" s="4" t="str">
        <f t="shared" si="44"/>
        <v/>
      </c>
      <c r="IZ64" s="4" t="str">
        <f t="shared" si="45"/>
        <v/>
      </c>
      <c r="JA64" s="4" t="str">
        <f t="shared" ref="JA64:JB64" si="280">if(ISERROR(SEARCH("Higher Education",BB64)),"","810")</f>
        <v/>
      </c>
      <c r="JB64" s="4" t="str">
        <f t="shared" si="280"/>
        <v/>
      </c>
      <c r="JC64" s="4" t="str">
        <f t="shared" si="47"/>
        <v/>
      </c>
      <c r="JD64" s="4" t="str">
        <f t="shared" si="48"/>
        <v/>
      </c>
      <c r="JE64" s="4" t="str">
        <f t="shared" si="49"/>
        <v/>
      </c>
      <c r="JF64" s="4" t="str">
        <f t="shared" si="50"/>
        <v/>
      </c>
      <c r="JG64" s="4" t="str">
        <f t="shared" si="51"/>
        <v/>
      </c>
      <c r="JH64" s="4" t="str">
        <f t="shared" si="52"/>
        <v/>
      </c>
      <c r="JI64" s="4" t="str">
        <f t="shared" si="53"/>
        <v/>
      </c>
      <c r="JJ64" s="4" t="str">
        <f t="shared" si="54"/>
        <v/>
      </c>
      <c r="JK64" s="4" t="str">
        <f t="shared" si="55"/>
        <v/>
      </c>
      <c r="JL64" s="4" t="str">
        <f t="shared" si="56"/>
        <v/>
      </c>
      <c r="JM64" s="4" t="str">
        <f t="shared" si="57"/>
        <v/>
      </c>
      <c r="JN64" s="4" t="str">
        <f t="shared" si="58"/>
        <v/>
      </c>
      <c r="JO64" s="4" t="str">
        <f t="shared" si="59"/>
        <v/>
      </c>
      <c r="JP64" s="4" t="str">
        <f t="shared" si="60"/>
        <v/>
      </c>
      <c r="JQ64" s="4" t="str">
        <f t="shared" si="61"/>
        <v/>
      </c>
      <c r="JR64" s="4" t="str">
        <f t="shared" si="62"/>
        <v/>
      </c>
      <c r="JS64" s="4" t="str">
        <f t="shared" si="63"/>
        <v/>
      </c>
      <c r="JT64" s="4" t="str">
        <f t="shared" si="64"/>
        <v/>
      </c>
      <c r="JU64" s="4" t="str">
        <f t="shared" si="65"/>
        <v/>
      </c>
      <c r="JV64" s="4" t="str">
        <f t="shared" si="66"/>
        <v/>
      </c>
      <c r="JW64" s="4" t="str">
        <f t="shared" si="67"/>
        <v/>
      </c>
      <c r="JX64" s="4" t="str">
        <f t="shared" si="68"/>
        <v/>
      </c>
      <c r="JY64" s="4" t="str">
        <f t="shared" si="69"/>
        <v/>
      </c>
      <c r="JZ64" s="4" t="str">
        <f t="shared" si="70"/>
        <v/>
      </c>
      <c r="KA64" s="4" t="str">
        <f t="shared" si="71"/>
        <v/>
      </c>
      <c r="KB64" s="4" t="str">
        <f t="shared" si="72"/>
        <v/>
      </c>
      <c r="KC64" s="4" t="str">
        <f t="shared" si="73"/>
        <v/>
      </c>
      <c r="KD64" s="4" t="str">
        <f t="shared" si="74"/>
        <v/>
      </c>
      <c r="KE64" s="4" t="str">
        <f t="shared" si="75"/>
        <v/>
      </c>
      <c r="KF64" s="4" t="str">
        <f t="shared" si="76"/>
        <v/>
      </c>
      <c r="KG64" s="4" t="str">
        <f t="shared" si="77"/>
        <v/>
      </c>
      <c r="KH64" s="4" t="str">
        <f t="shared" si="78"/>
        <v/>
      </c>
      <c r="KI64" s="4" t="str">
        <f t="shared" si="79"/>
        <v/>
      </c>
      <c r="KJ64" s="4" t="str">
        <f t="shared" si="80"/>
        <v/>
      </c>
      <c r="KK64" s="4" t="str">
        <f t="shared" si="81"/>
        <v/>
      </c>
      <c r="KL64" s="4" t="str">
        <f t="shared" si="82"/>
        <v/>
      </c>
      <c r="KM64" s="4" t="str">
        <f t="shared" si="83"/>
        <v/>
      </c>
      <c r="KN64" s="4" t="str">
        <f t="shared" si="84"/>
        <v/>
      </c>
      <c r="KO64" s="4" t="str">
        <f t="shared" si="85"/>
        <v/>
      </c>
      <c r="KP64" s="4" t="str">
        <f t="shared" si="86"/>
        <v/>
      </c>
      <c r="KQ64" s="4" t="str">
        <f t="shared" si="87"/>
        <v/>
      </c>
      <c r="KR64" s="4" t="str">
        <f t="shared" si="88"/>
        <v/>
      </c>
      <c r="KS64" s="4" t="str">
        <f t="shared" si="89"/>
        <v/>
      </c>
      <c r="KT64" s="4" t="str">
        <f t="shared" si="90"/>
        <v/>
      </c>
      <c r="KU64" s="4" t="str">
        <f t="shared" si="91"/>
        <v/>
      </c>
      <c r="KV64" s="4" t="str">
        <f t="shared" si="92"/>
        <v/>
      </c>
      <c r="KW64" s="4" t="str">
        <f t="shared" si="93"/>
        <v/>
      </c>
      <c r="KX64" s="4" t="str">
        <f t="shared" si="94"/>
        <v/>
      </c>
      <c r="KY64" s="4" t="str">
        <f t="shared" si="95"/>
        <v/>
      </c>
      <c r="KZ64" s="4" t="str">
        <f t="shared" si="96"/>
        <v/>
      </c>
      <c r="LA64" s="4" t="str">
        <f t="shared" si="97"/>
        <v/>
      </c>
      <c r="LB64" s="4" t="str">
        <f t="shared" si="98"/>
        <v/>
      </c>
      <c r="LC64" s="4" t="str">
        <f t="shared" si="99"/>
        <v/>
      </c>
      <c r="LD64" s="4" t="str">
        <f t="shared" si="100"/>
        <v/>
      </c>
      <c r="LE64" s="4" t="str">
        <f t="shared" si="101"/>
        <v/>
      </c>
      <c r="LF64" s="4" t="str">
        <f t="shared" si="102"/>
        <v/>
      </c>
      <c r="LG64" s="4" t="str">
        <f t="shared" si="103"/>
        <v/>
      </c>
      <c r="LH64" s="4" t="str">
        <f t="shared" si="104"/>
        <v/>
      </c>
      <c r="LI64" s="4" t="str">
        <f t="shared" si="105"/>
        <v/>
      </c>
      <c r="LJ64" s="4" t="str">
        <f t="shared" si="106"/>
        <v/>
      </c>
      <c r="LK64" s="4" t="str">
        <f t="shared" si="107"/>
        <v/>
      </c>
      <c r="LL64" s="4" t="str">
        <f t="shared" si="108"/>
        <v/>
      </c>
      <c r="LM64" s="4" t="str">
        <f t="shared" si="109"/>
        <v/>
      </c>
      <c r="LN64" s="4" t="str">
        <f t="shared" si="110"/>
        <v/>
      </c>
      <c r="LO64" s="4" t="str">
        <f t="shared" si="111"/>
        <v/>
      </c>
      <c r="LP64" s="4" t="str">
        <f t="shared" si="112"/>
        <v/>
      </c>
      <c r="LQ64" s="4" t="str">
        <f t="shared" si="113"/>
        <v/>
      </c>
      <c r="LR64" s="4" t="str">
        <f t="shared" si="114"/>
        <v/>
      </c>
      <c r="LS64" s="4" t="str">
        <f t="shared" si="115"/>
        <v/>
      </c>
      <c r="LT64" s="4" t="str">
        <f t="shared" si="116"/>
        <v/>
      </c>
      <c r="LU64" s="4" t="str">
        <f t="shared" si="117"/>
        <v/>
      </c>
      <c r="LV64" s="4" t="str">
        <f t="shared" si="118"/>
        <v/>
      </c>
      <c r="LW64" s="4" t="str">
        <f t="shared" si="119"/>
        <v/>
      </c>
      <c r="LX64" s="4" t="str">
        <f t="shared" si="120"/>
        <v/>
      </c>
      <c r="LY64" s="4" t="str">
        <f t="shared" si="121"/>
        <v/>
      </c>
      <c r="LZ64" s="4" t="str">
        <f t="shared" si="122"/>
        <v/>
      </c>
      <c r="MA64" s="4" t="str">
        <f t="shared" si="123"/>
        <v/>
      </c>
      <c r="MB64" s="4" t="str">
        <f t="shared" si="124"/>
        <v/>
      </c>
      <c r="MC64" s="4" t="str">
        <f t="shared" si="125"/>
        <v/>
      </c>
      <c r="MD64" s="4" t="str">
        <f t="shared" si="126"/>
        <v/>
      </c>
      <c r="ME64" s="4" t="str">
        <f t="shared" si="127"/>
        <v/>
      </c>
      <c r="MF64" s="4" t="str">
        <f t="shared" si="128"/>
        <v/>
      </c>
      <c r="MG64" s="4" t="str">
        <f t="shared" si="129"/>
        <v/>
      </c>
      <c r="MH64" s="4" t="str">
        <f t="shared" si="130"/>
        <v/>
      </c>
      <c r="MI64" s="4" t="str">
        <f t="shared" si="131"/>
        <v/>
      </c>
      <c r="MJ64" s="4" t="str">
        <f t="shared" si="132"/>
        <v/>
      </c>
      <c r="MK64" s="4" t="str">
        <f t="shared" si="133"/>
        <v/>
      </c>
      <c r="ML64" s="4" t="str">
        <f t="shared" si="134"/>
        <v/>
      </c>
      <c r="MM64" s="4" t="str">
        <f t="shared" si="135"/>
        <v/>
      </c>
      <c r="MN64" s="4" t="str">
        <f t="shared" si="136"/>
        <v/>
      </c>
      <c r="MO64" s="4" t="str">
        <f t="shared" si="137"/>
        <v/>
      </c>
      <c r="MP64" s="4" t="str">
        <f t="shared" si="138"/>
        <v/>
      </c>
      <c r="MQ64" s="4" t="str">
        <f t="shared" si="139"/>
        <v/>
      </c>
      <c r="MR64" s="4" t="str">
        <f t="shared" si="140"/>
        <v/>
      </c>
      <c r="MS64" s="4" t="str">
        <f t="shared" si="141"/>
        <v/>
      </c>
      <c r="MT64" s="4" t="str">
        <f t="shared" si="142"/>
        <v/>
      </c>
      <c r="MU64" s="4" t="str">
        <f t="shared" si="143"/>
        <v/>
      </c>
      <c r="MV64" s="4" t="str">
        <f t="shared" si="144"/>
        <v/>
      </c>
      <c r="MW64" s="4" t="str">
        <f t="shared" si="145"/>
        <v/>
      </c>
      <c r="MX64" s="4" t="str">
        <f t="shared" si="146"/>
        <v/>
      </c>
      <c r="MY64" s="4" t="str">
        <f t="shared" si="147"/>
        <v/>
      </c>
      <c r="MZ64" s="4" t="str">
        <f t="shared" si="148"/>
        <v/>
      </c>
      <c r="NA64" s="4" t="str">
        <f t="shared" si="149"/>
        <v/>
      </c>
      <c r="NB64" s="4" t="str">
        <f t="shared" si="150"/>
        <v/>
      </c>
      <c r="NC64" s="4" t="str">
        <f t="shared" si="151"/>
        <v/>
      </c>
      <c r="ND64" s="4" t="str">
        <f t="shared" si="152"/>
        <v/>
      </c>
      <c r="NE64" s="4" t="str">
        <f t="shared" si="153"/>
        <v/>
      </c>
      <c r="NF64" s="4" t="str">
        <f t="shared" si="154"/>
        <v/>
      </c>
      <c r="NG64" s="4" t="str">
        <f t="shared" si="155"/>
        <v/>
      </c>
      <c r="NH64" s="4" t="str">
        <f t="shared" si="156"/>
        <v/>
      </c>
      <c r="NI64" s="4" t="str">
        <f t="shared" si="157"/>
        <v/>
      </c>
      <c r="NJ64" s="4" t="str">
        <f t="shared" si="158"/>
        <v/>
      </c>
      <c r="NK64" s="4" t="str">
        <f t="shared" si="159"/>
        <v/>
      </c>
      <c r="NL64" s="4" t="str">
        <f t="shared" si="160"/>
        <v/>
      </c>
      <c r="NM64" s="4" t="str">
        <f t="shared" si="161"/>
        <v/>
      </c>
      <c r="NN64" s="4" t="str">
        <f t="shared" si="162"/>
        <v/>
      </c>
      <c r="NO64" s="4" t="str">
        <f t="shared" si="163"/>
        <v/>
      </c>
      <c r="NP64" s="4" t="str">
        <f t="shared" si="164"/>
        <v/>
      </c>
      <c r="NQ64" s="4" t="str">
        <f t="shared" si="165"/>
        <v/>
      </c>
      <c r="NR64" s="4" t="str">
        <f t="shared" si="166"/>
        <v/>
      </c>
      <c r="NS64" s="4" t="str">
        <f t="shared" si="167"/>
        <v/>
      </c>
      <c r="NT64" s="4" t="str">
        <f t="shared" si="168"/>
        <v/>
      </c>
      <c r="NU64" s="4" t="str">
        <f t="shared" si="169"/>
        <v/>
      </c>
      <c r="NV64" s="4" t="str">
        <f t="shared" si="170"/>
        <v/>
      </c>
      <c r="NW64" s="4" t="str">
        <f t="shared" si="171"/>
        <v/>
      </c>
      <c r="NX64" s="4" t="str">
        <f t="shared" si="172"/>
        <v/>
      </c>
      <c r="NY64" s="4" t="str">
        <f t="shared" si="173"/>
        <v/>
      </c>
      <c r="NZ64" s="4" t="str">
        <f t="shared" si="174"/>
        <v/>
      </c>
      <c r="OA64" s="4" t="str">
        <f t="shared" si="175"/>
        <v/>
      </c>
      <c r="OB64" s="4" t="str">
        <f t="shared" si="176"/>
        <v/>
      </c>
      <c r="OC64" s="4" t="str">
        <f t="shared" si="177"/>
        <v/>
      </c>
      <c r="OD64" s="4" t="str">
        <f t="shared" si="178"/>
        <v/>
      </c>
      <c r="OE64" s="4" t="str">
        <f t="shared" si="179"/>
        <v/>
      </c>
      <c r="OF64" s="4" t="str">
        <f t="shared" si="180"/>
        <v/>
      </c>
      <c r="OG64" s="4" t="str">
        <f t="shared" si="181"/>
        <v/>
      </c>
      <c r="OH64" s="4" t="str">
        <f t="shared" si="182"/>
        <v/>
      </c>
      <c r="OI64" s="4" t="str">
        <f t="shared" si="183"/>
        <v/>
      </c>
      <c r="OJ64" s="4" t="str">
        <f t="shared" si="184"/>
        <v/>
      </c>
      <c r="OK64" s="4" t="str">
        <f t="shared" si="185"/>
        <v/>
      </c>
      <c r="OL64" s="4" t="str">
        <f t="shared" si="186"/>
        <v/>
      </c>
      <c r="OM64" s="4" t="str">
        <f t="shared" si="187"/>
        <v/>
      </c>
      <c r="ON64" s="4" t="str">
        <f t="shared" si="188"/>
        <v/>
      </c>
      <c r="OO64" s="4" t="str">
        <f t="shared" si="189"/>
        <v/>
      </c>
      <c r="OP64" s="4" t="str">
        <f t="shared" si="190"/>
        <v/>
      </c>
      <c r="OQ64" s="4" t="str">
        <f t="shared" si="191"/>
        <v/>
      </c>
      <c r="OR64" s="4" t="str">
        <f t="shared" si="192"/>
        <v/>
      </c>
      <c r="OS64" s="4" t="str">
        <f t="shared" si="193"/>
        <v/>
      </c>
      <c r="OT64" s="4" t="str">
        <f t="shared" si="194"/>
        <v/>
      </c>
      <c r="OU64" s="4" t="str">
        <f t="shared" si="195"/>
        <v/>
      </c>
      <c r="OV64" s="4" t="str">
        <f t="shared" si="196"/>
        <v/>
      </c>
      <c r="OW64" s="4" t="str">
        <f t="shared" si="197"/>
        <v/>
      </c>
      <c r="OX64" s="4" t="str">
        <f t="shared" si="198"/>
        <v/>
      </c>
      <c r="OY64" s="4" t="str">
        <f t="shared" si="199"/>
        <v/>
      </c>
      <c r="OZ64" s="4" t="str">
        <f t="shared" si="200"/>
        <v/>
      </c>
      <c r="PA64" s="4" t="str">
        <f t="shared" si="201"/>
        <v/>
      </c>
      <c r="PB64" s="4" t="str">
        <f t="shared" si="202"/>
        <v/>
      </c>
      <c r="PC64" s="4" t="str">
        <f t="shared" si="203"/>
        <v/>
      </c>
      <c r="PD64" s="4" t="str">
        <f t="shared" si="204"/>
        <v/>
      </c>
      <c r="PE64" s="4" t="str">
        <f t="shared" si="205"/>
        <v/>
      </c>
      <c r="PF64" s="4" t="str">
        <f t="shared" si="206"/>
        <v/>
      </c>
      <c r="PG64" s="4" t="str">
        <f t="shared" si="207"/>
        <v/>
      </c>
      <c r="PH64" s="4" t="str">
        <f t="shared" si="208"/>
        <v/>
      </c>
      <c r="PI64" s="4" t="str">
        <f t="shared" si="209"/>
        <v/>
      </c>
      <c r="PJ64" s="4" t="str">
        <f t="shared" si="210"/>
        <v/>
      </c>
      <c r="PK64" s="4" t="str">
        <f t="shared" si="211"/>
        <v/>
      </c>
      <c r="PL64" s="4" t="str">
        <f t="shared" si="212"/>
        <v/>
      </c>
      <c r="PM64" s="4" t="str">
        <f t="shared" si="213"/>
        <v/>
      </c>
      <c r="PN64" s="4" t="str">
        <f t="shared" si="214"/>
        <v/>
      </c>
      <c r="PO64" s="4" t="str">
        <f t="shared" si="215"/>
        <v/>
      </c>
      <c r="PP64" s="4" t="str">
        <f t="shared" si="216"/>
        <v/>
      </c>
      <c r="PQ64" s="4" t="str">
        <f t="shared" si="217"/>
        <v/>
      </c>
      <c r="PR64" s="4" t="str">
        <f t="shared" si="218"/>
        <v/>
      </c>
      <c r="PS64" s="4" t="str">
        <f t="shared" si="219"/>
        <v/>
      </c>
    </row>
    <row r="65">
      <c r="HI65" s="4" t="str">
        <f t="shared" si="2"/>
        <v/>
      </c>
      <c r="HJ65" s="4" t="str">
        <f t="shared" si="3"/>
        <v/>
      </c>
      <c r="HK65" s="4" t="str">
        <f t="shared" si="4"/>
        <v/>
      </c>
      <c r="HL65" s="4" t="str">
        <f t="shared" si="5"/>
        <v/>
      </c>
      <c r="HM65" s="4" t="str">
        <f t="shared" si="6"/>
        <v/>
      </c>
      <c r="HN65" s="4" t="str">
        <f t="shared" si="7"/>
        <v/>
      </c>
      <c r="HO65" s="4" t="str">
        <f t="shared" si="8"/>
        <v/>
      </c>
      <c r="HP65" s="4" t="str">
        <f t="shared" si="9"/>
        <v/>
      </c>
      <c r="HQ65" s="4" t="str">
        <f t="shared" si="10"/>
        <v/>
      </c>
      <c r="HR65" s="4" t="str">
        <f t="shared" si="11"/>
        <v/>
      </c>
      <c r="HS65" s="4" t="str">
        <f t="shared" si="12"/>
        <v/>
      </c>
      <c r="HT65" s="4" t="str">
        <f t="shared" si="13"/>
        <v/>
      </c>
      <c r="HU65" s="4" t="str">
        <f t="shared" si="14"/>
        <v/>
      </c>
      <c r="HV65" s="4" t="str">
        <f t="shared" si="15"/>
        <v/>
      </c>
      <c r="HW65" s="4" t="str">
        <f t="shared" si="16"/>
        <v/>
      </c>
      <c r="HX65" s="4" t="str">
        <f t="shared" si="17"/>
        <v/>
      </c>
      <c r="HY65" s="4" t="str">
        <f t="shared" si="18"/>
        <v/>
      </c>
      <c r="HZ65" s="4" t="str">
        <f t="shared" si="19"/>
        <v/>
      </c>
      <c r="IA65" s="4" t="str">
        <f t="shared" si="20"/>
        <v/>
      </c>
      <c r="IB65" s="4" t="str">
        <f t="shared" si="21"/>
        <v/>
      </c>
      <c r="IC65" s="4" t="str">
        <f t="shared" si="22"/>
        <v/>
      </c>
      <c r="ID65" s="4" t="str">
        <f t="shared" si="23"/>
        <v/>
      </c>
      <c r="IE65" s="4" t="str">
        <f t="shared" si="24"/>
        <v/>
      </c>
      <c r="IF65" s="4" t="str">
        <f t="shared" si="25"/>
        <v/>
      </c>
      <c r="IG65" s="4" t="str">
        <f t="shared" si="26"/>
        <v/>
      </c>
      <c r="IH65" s="4" t="str">
        <f t="shared" si="27"/>
        <v/>
      </c>
      <c r="II65" s="4" t="str">
        <f t="shared" si="28"/>
        <v/>
      </c>
      <c r="IJ65" s="4" t="str">
        <f t="shared" si="29"/>
        <v/>
      </c>
      <c r="IK65" s="4" t="str">
        <f t="shared" si="30"/>
        <v/>
      </c>
      <c r="IL65" s="4" t="str">
        <f t="shared" si="31"/>
        <v/>
      </c>
      <c r="IM65" s="4" t="str">
        <f t="shared" si="32"/>
        <v/>
      </c>
      <c r="IN65" s="4" t="str">
        <f t="shared" si="33"/>
        <v/>
      </c>
      <c r="IO65" s="4" t="str">
        <f t="shared" si="34"/>
        <v/>
      </c>
      <c r="IP65" s="4" t="str">
        <f t="shared" si="35"/>
        <v/>
      </c>
      <c r="IQ65" s="4" t="str">
        <f t="shared" si="36"/>
        <v/>
      </c>
      <c r="IR65" s="4" t="str">
        <f t="shared" si="37"/>
        <v/>
      </c>
      <c r="IS65" s="4" t="str">
        <f t="shared" si="38"/>
        <v/>
      </c>
      <c r="IT65" s="4" t="str">
        <f t="shared" si="39"/>
        <v/>
      </c>
      <c r="IU65" s="4" t="str">
        <f t="shared" si="40"/>
        <v/>
      </c>
      <c r="IV65" s="4" t="str">
        <f t="shared" si="41"/>
        <v/>
      </c>
      <c r="IW65" s="4" t="str">
        <f t="shared" si="42"/>
        <v/>
      </c>
      <c r="IX65" s="4" t="str">
        <f t="shared" si="43"/>
        <v/>
      </c>
      <c r="IY65" s="4" t="str">
        <f t="shared" si="44"/>
        <v/>
      </c>
      <c r="IZ65" s="4" t="str">
        <f t="shared" si="45"/>
        <v/>
      </c>
      <c r="JA65" s="4" t="str">
        <f t="shared" ref="JA65:JB65" si="281">if(ISERROR(SEARCH("Higher Education",BB65)),"","810")</f>
        <v/>
      </c>
      <c r="JB65" s="4" t="str">
        <f t="shared" si="281"/>
        <v/>
      </c>
      <c r="JC65" s="4" t="str">
        <f t="shared" si="47"/>
        <v/>
      </c>
      <c r="JD65" s="4" t="str">
        <f t="shared" si="48"/>
        <v/>
      </c>
      <c r="JE65" s="4" t="str">
        <f t="shared" si="49"/>
        <v/>
      </c>
      <c r="JF65" s="4" t="str">
        <f t="shared" si="50"/>
        <v/>
      </c>
      <c r="JG65" s="4" t="str">
        <f t="shared" si="51"/>
        <v/>
      </c>
      <c r="JH65" s="4" t="str">
        <f t="shared" si="52"/>
        <v/>
      </c>
      <c r="JI65" s="4" t="str">
        <f t="shared" si="53"/>
        <v/>
      </c>
      <c r="JJ65" s="4" t="str">
        <f t="shared" si="54"/>
        <v/>
      </c>
      <c r="JK65" s="4" t="str">
        <f t="shared" si="55"/>
        <v/>
      </c>
      <c r="JL65" s="4" t="str">
        <f t="shared" si="56"/>
        <v/>
      </c>
      <c r="JM65" s="4" t="str">
        <f t="shared" si="57"/>
        <v/>
      </c>
      <c r="JN65" s="4" t="str">
        <f t="shared" si="58"/>
        <v/>
      </c>
      <c r="JO65" s="4" t="str">
        <f t="shared" si="59"/>
        <v/>
      </c>
      <c r="JP65" s="4" t="str">
        <f t="shared" si="60"/>
        <v/>
      </c>
      <c r="JQ65" s="4" t="str">
        <f t="shared" si="61"/>
        <v/>
      </c>
      <c r="JR65" s="4" t="str">
        <f t="shared" si="62"/>
        <v/>
      </c>
      <c r="JS65" s="4" t="str">
        <f t="shared" si="63"/>
        <v/>
      </c>
      <c r="JT65" s="4" t="str">
        <f t="shared" si="64"/>
        <v/>
      </c>
      <c r="JU65" s="4" t="str">
        <f t="shared" si="65"/>
        <v/>
      </c>
      <c r="JV65" s="4" t="str">
        <f t="shared" si="66"/>
        <v/>
      </c>
      <c r="JW65" s="4" t="str">
        <f t="shared" si="67"/>
        <v/>
      </c>
      <c r="JX65" s="4" t="str">
        <f t="shared" si="68"/>
        <v/>
      </c>
      <c r="JY65" s="4" t="str">
        <f t="shared" si="69"/>
        <v/>
      </c>
      <c r="JZ65" s="4" t="str">
        <f t="shared" si="70"/>
        <v/>
      </c>
      <c r="KA65" s="4" t="str">
        <f t="shared" si="71"/>
        <v/>
      </c>
      <c r="KB65" s="4" t="str">
        <f t="shared" si="72"/>
        <v/>
      </c>
      <c r="KC65" s="4" t="str">
        <f t="shared" si="73"/>
        <v/>
      </c>
      <c r="KD65" s="4" t="str">
        <f t="shared" si="74"/>
        <v/>
      </c>
      <c r="KE65" s="4" t="str">
        <f t="shared" si="75"/>
        <v/>
      </c>
      <c r="KF65" s="4" t="str">
        <f t="shared" si="76"/>
        <v/>
      </c>
      <c r="KG65" s="4" t="str">
        <f t="shared" si="77"/>
        <v/>
      </c>
      <c r="KH65" s="4" t="str">
        <f t="shared" si="78"/>
        <v/>
      </c>
      <c r="KI65" s="4" t="str">
        <f t="shared" si="79"/>
        <v/>
      </c>
      <c r="KJ65" s="4" t="str">
        <f t="shared" si="80"/>
        <v/>
      </c>
      <c r="KK65" s="4" t="str">
        <f t="shared" si="81"/>
        <v/>
      </c>
      <c r="KL65" s="4" t="str">
        <f t="shared" si="82"/>
        <v/>
      </c>
      <c r="KM65" s="4" t="str">
        <f t="shared" si="83"/>
        <v/>
      </c>
      <c r="KN65" s="4" t="str">
        <f t="shared" si="84"/>
        <v/>
      </c>
      <c r="KO65" s="4" t="str">
        <f t="shared" si="85"/>
        <v/>
      </c>
      <c r="KP65" s="4" t="str">
        <f t="shared" si="86"/>
        <v/>
      </c>
      <c r="KQ65" s="4" t="str">
        <f t="shared" si="87"/>
        <v/>
      </c>
      <c r="KR65" s="4" t="str">
        <f t="shared" si="88"/>
        <v/>
      </c>
      <c r="KS65" s="4" t="str">
        <f t="shared" si="89"/>
        <v/>
      </c>
      <c r="KT65" s="4" t="str">
        <f t="shared" si="90"/>
        <v/>
      </c>
      <c r="KU65" s="4" t="str">
        <f t="shared" si="91"/>
        <v/>
      </c>
      <c r="KV65" s="4" t="str">
        <f t="shared" si="92"/>
        <v/>
      </c>
      <c r="KW65" s="4" t="str">
        <f t="shared" si="93"/>
        <v/>
      </c>
      <c r="KX65" s="4" t="str">
        <f t="shared" si="94"/>
        <v/>
      </c>
      <c r="KY65" s="4" t="str">
        <f t="shared" si="95"/>
        <v/>
      </c>
      <c r="KZ65" s="4" t="str">
        <f t="shared" si="96"/>
        <v/>
      </c>
      <c r="LA65" s="4" t="str">
        <f t="shared" si="97"/>
        <v/>
      </c>
      <c r="LB65" s="4" t="str">
        <f t="shared" si="98"/>
        <v/>
      </c>
      <c r="LC65" s="4" t="str">
        <f t="shared" si="99"/>
        <v/>
      </c>
      <c r="LD65" s="4" t="str">
        <f t="shared" si="100"/>
        <v/>
      </c>
      <c r="LE65" s="4" t="str">
        <f t="shared" si="101"/>
        <v/>
      </c>
      <c r="LF65" s="4" t="str">
        <f t="shared" si="102"/>
        <v/>
      </c>
      <c r="LG65" s="4" t="str">
        <f t="shared" si="103"/>
        <v/>
      </c>
      <c r="LH65" s="4" t="str">
        <f t="shared" si="104"/>
        <v/>
      </c>
      <c r="LI65" s="4" t="str">
        <f t="shared" si="105"/>
        <v/>
      </c>
      <c r="LJ65" s="4" t="str">
        <f t="shared" si="106"/>
        <v/>
      </c>
      <c r="LK65" s="4" t="str">
        <f t="shared" si="107"/>
        <v/>
      </c>
      <c r="LL65" s="4" t="str">
        <f t="shared" si="108"/>
        <v/>
      </c>
      <c r="LM65" s="4" t="str">
        <f t="shared" si="109"/>
        <v/>
      </c>
      <c r="LN65" s="4" t="str">
        <f t="shared" si="110"/>
        <v/>
      </c>
      <c r="LO65" s="4" t="str">
        <f t="shared" si="111"/>
        <v/>
      </c>
      <c r="LP65" s="4" t="str">
        <f t="shared" si="112"/>
        <v/>
      </c>
      <c r="LQ65" s="4" t="str">
        <f t="shared" si="113"/>
        <v/>
      </c>
      <c r="LR65" s="4" t="str">
        <f t="shared" si="114"/>
        <v/>
      </c>
      <c r="LS65" s="4" t="str">
        <f t="shared" si="115"/>
        <v/>
      </c>
      <c r="LT65" s="4" t="str">
        <f t="shared" si="116"/>
        <v/>
      </c>
      <c r="LU65" s="4" t="str">
        <f t="shared" si="117"/>
        <v/>
      </c>
      <c r="LV65" s="4" t="str">
        <f t="shared" si="118"/>
        <v/>
      </c>
      <c r="LW65" s="4" t="str">
        <f t="shared" si="119"/>
        <v/>
      </c>
      <c r="LX65" s="4" t="str">
        <f t="shared" si="120"/>
        <v/>
      </c>
      <c r="LY65" s="4" t="str">
        <f t="shared" si="121"/>
        <v/>
      </c>
      <c r="LZ65" s="4" t="str">
        <f t="shared" si="122"/>
        <v/>
      </c>
      <c r="MA65" s="4" t="str">
        <f t="shared" si="123"/>
        <v/>
      </c>
      <c r="MB65" s="4" t="str">
        <f t="shared" si="124"/>
        <v/>
      </c>
      <c r="MC65" s="4" t="str">
        <f t="shared" si="125"/>
        <v/>
      </c>
      <c r="MD65" s="4" t="str">
        <f t="shared" si="126"/>
        <v/>
      </c>
      <c r="ME65" s="4" t="str">
        <f t="shared" si="127"/>
        <v/>
      </c>
      <c r="MF65" s="4" t="str">
        <f t="shared" si="128"/>
        <v/>
      </c>
      <c r="MG65" s="4" t="str">
        <f t="shared" si="129"/>
        <v/>
      </c>
      <c r="MH65" s="4" t="str">
        <f t="shared" si="130"/>
        <v/>
      </c>
      <c r="MI65" s="4" t="str">
        <f t="shared" si="131"/>
        <v/>
      </c>
      <c r="MJ65" s="4" t="str">
        <f t="shared" si="132"/>
        <v/>
      </c>
      <c r="MK65" s="4" t="str">
        <f t="shared" si="133"/>
        <v/>
      </c>
      <c r="ML65" s="4" t="str">
        <f t="shared" si="134"/>
        <v/>
      </c>
      <c r="MM65" s="4" t="str">
        <f t="shared" si="135"/>
        <v/>
      </c>
      <c r="MN65" s="4" t="str">
        <f t="shared" si="136"/>
        <v/>
      </c>
      <c r="MO65" s="4" t="str">
        <f t="shared" si="137"/>
        <v/>
      </c>
      <c r="MP65" s="4" t="str">
        <f t="shared" si="138"/>
        <v/>
      </c>
      <c r="MQ65" s="4" t="str">
        <f t="shared" si="139"/>
        <v/>
      </c>
      <c r="MR65" s="4" t="str">
        <f t="shared" si="140"/>
        <v/>
      </c>
      <c r="MS65" s="4" t="str">
        <f t="shared" si="141"/>
        <v/>
      </c>
      <c r="MT65" s="4" t="str">
        <f t="shared" si="142"/>
        <v/>
      </c>
      <c r="MU65" s="4" t="str">
        <f t="shared" si="143"/>
        <v/>
      </c>
      <c r="MV65" s="4" t="str">
        <f t="shared" si="144"/>
        <v/>
      </c>
      <c r="MW65" s="4" t="str">
        <f t="shared" si="145"/>
        <v/>
      </c>
      <c r="MX65" s="4" t="str">
        <f t="shared" si="146"/>
        <v/>
      </c>
      <c r="MY65" s="4" t="str">
        <f t="shared" si="147"/>
        <v/>
      </c>
      <c r="MZ65" s="4" t="str">
        <f t="shared" si="148"/>
        <v/>
      </c>
      <c r="NA65" s="4" t="str">
        <f t="shared" si="149"/>
        <v/>
      </c>
      <c r="NB65" s="4" t="str">
        <f t="shared" si="150"/>
        <v/>
      </c>
      <c r="NC65" s="4" t="str">
        <f t="shared" si="151"/>
        <v/>
      </c>
      <c r="ND65" s="4" t="str">
        <f t="shared" si="152"/>
        <v/>
      </c>
      <c r="NE65" s="4" t="str">
        <f t="shared" si="153"/>
        <v/>
      </c>
      <c r="NF65" s="4" t="str">
        <f t="shared" si="154"/>
        <v/>
      </c>
      <c r="NG65" s="4" t="str">
        <f t="shared" si="155"/>
        <v/>
      </c>
      <c r="NH65" s="4" t="str">
        <f t="shared" si="156"/>
        <v/>
      </c>
      <c r="NI65" s="4" t="str">
        <f t="shared" si="157"/>
        <v/>
      </c>
      <c r="NJ65" s="4" t="str">
        <f t="shared" si="158"/>
        <v/>
      </c>
      <c r="NK65" s="4" t="str">
        <f t="shared" si="159"/>
        <v/>
      </c>
      <c r="NL65" s="4" t="str">
        <f t="shared" si="160"/>
        <v/>
      </c>
      <c r="NM65" s="4" t="str">
        <f t="shared" si="161"/>
        <v/>
      </c>
      <c r="NN65" s="4" t="str">
        <f t="shared" si="162"/>
        <v/>
      </c>
      <c r="NO65" s="4" t="str">
        <f t="shared" si="163"/>
        <v/>
      </c>
      <c r="NP65" s="4" t="str">
        <f t="shared" si="164"/>
        <v/>
      </c>
      <c r="NQ65" s="4" t="str">
        <f t="shared" si="165"/>
        <v/>
      </c>
      <c r="NR65" s="4" t="str">
        <f t="shared" si="166"/>
        <v/>
      </c>
      <c r="NS65" s="4" t="str">
        <f t="shared" si="167"/>
        <v/>
      </c>
      <c r="NT65" s="4" t="str">
        <f t="shared" si="168"/>
        <v/>
      </c>
      <c r="NU65" s="4" t="str">
        <f t="shared" si="169"/>
        <v/>
      </c>
      <c r="NV65" s="4" t="str">
        <f t="shared" si="170"/>
        <v/>
      </c>
      <c r="NW65" s="4" t="str">
        <f t="shared" si="171"/>
        <v/>
      </c>
      <c r="NX65" s="4" t="str">
        <f t="shared" si="172"/>
        <v/>
      </c>
      <c r="NY65" s="4" t="str">
        <f t="shared" si="173"/>
        <v/>
      </c>
      <c r="NZ65" s="4" t="str">
        <f t="shared" si="174"/>
        <v/>
      </c>
      <c r="OA65" s="4" t="str">
        <f t="shared" si="175"/>
        <v/>
      </c>
      <c r="OB65" s="4" t="str">
        <f t="shared" si="176"/>
        <v/>
      </c>
      <c r="OC65" s="4" t="str">
        <f t="shared" si="177"/>
        <v/>
      </c>
      <c r="OD65" s="4" t="str">
        <f t="shared" si="178"/>
        <v/>
      </c>
      <c r="OE65" s="4" t="str">
        <f t="shared" si="179"/>
        <v/>
      </c>
      <c r="OF65" s="4" t="str">
        <f t="shared" si="180"/>
        <v/>
      </c>
      <c r="OG65" s="4" t="str">
        <f t="shared" si="181"/>
        <v/>
      </c>
      <c r="OH65" s="4" t="str">
        <f t="shared" si="182"/>
        <v/>
      </c>
      <c r="OI65" s="4" t="str">
        <f t="shared" si="183"/>
        <v/>
      </c>
      <c r="OJ65" s="4" t="str">
        <f t="shared" si="184"/>
        <v/>
      </c>
      <c r="OK65" s="4" t="str">
        <f t="shared" si="185"/>
        <v/>
      </c>
      <c r="OL65" s="4" t="str">
        <f t="shared" si="186"/>
        <v/>
      </c>
      <c r="OM65" s="4" t="str">
        <f t="shared" si="187"/>
        <v/>
      </c>
      <c r="ON65" s="4" t="str">
        <f t="shared" si="188"/>
        <v/>
      </c>
      <c r="OO65" s="4" t="str">
        <f t="shared" si="189"/>
        <v/>
      </c>
      <c r="OP65" s="4" t="str">
        <f t="shared" si="190"/>
        <v/>
      </c>
      <c r="OQ65" s="4" t="str">
        <f t="shared" si="191"/>
        <v/>
      </c>
      <c r="OR65" s="4" t="str">
        <f t="shared" si="192"/>
        <v/>
      </c>
      <c r="OS65" s="4" t="str">
        <f t="shared" si="193"/>
        <v/>
      </c>
      <c r="OT65" s="4" t="str">
        <f t="shared" si="194"/>
        <v/>
      </c>
      <c r="OU65" s="4" t="str">
        <f t="shared" si="195"/>
        <v/>
      </c>
      <c r="OV65" s="4" t="str">
        <f t="shared" si="196"/>
        <v/>
      </c>
      <c r="OW65" s="4" t="str">
        <f t="shared" si="197"/>
        <v/>
      </c>
      <c r="OX65" s="4" t="str">
        <f t="shared" si="198"/>
        <v/>
      </c>
      <c r="OY65" s="4" t="str">
        <f t="shared" si="199"/>
        <v/>
      </c>
      <c r="OZ65" s="4" t="str">
        <f t="shared" si="200"/>
        <v/>
      </c>
      <c r="PA65" s="4" t="str">
        <f t="shared" si="201"/>
        <v/>
      </c>
      <c r="PB65" s="4" t="str">
        <f t="shared" si="202"/>
        <v/>
      </c>
      <c r="PC65" s="4" t="str">
        <f t="shared" si="203"/>
        <v/>
      </c>
      <c r="PD65" s="4" t="str">
        <f t="shared" si="204"/>
        <v/>
      </c>
      <c r="PE65" s="4" t="str">
        <f t="shared" si="205"/>
        <v/>
      </c>
      <c r="PF65" s="4" t="str">
        <f t="shared" si="206"/>
        <v/>
      </c>
      <c r="PG65" s="4" t="str">
        <f t="shared" si="207"/>
        <v/>
      </c>
      <c r="PH65" s="4" t="str">
        <f t="shared" si="208"/>
        <v/>
      </c>
      <c r="PI65" s="4" t="str">
        <f t="shared" si="209"/>
        <v/>
      </c>
      <c r="PJ65" s="4" t="str">
        <f t="shared" si="210"/>
        <v/>
      </c>
      <c r="PK65" s="4" t="str">
        <f t="shared" si="211"/>
        <v/>
      </c>
      <c r="PL65" s="4" t="str">
        <f t="shared" si="212"/>
        <v/>
      </c>
      <c r="PM65" s="4" t="str">
        <f t="shared" si="213"/>
        <v/>
      </c>
      <c r="PN65" s="4" t="str">
        <f t="shared" si="214"/>
        <v/>
      </c>
      <c r="PO65" s="4" t="str">
        <f t="shared" si="215"/>
        <v/>
      </c>
      <c r="PP65" s="4" t="str">
        <f t="shared" si="216"/>
        <v/>
      </c>
      <c r="PQ65" s="4" t="str">
        <f t="shared" si="217"/>
        <v/>
      </c>
      <c r="PR65" s="4" t="str">
        <f t="shared" si="218"/>
        <v/>
      </c>
      <c r="PS65" s="4" t="str">
        <f t="shared" si="219"/>
        <v/>
      </c>
    </row>
    <row r="66">
      <c r="HI66" s="4" t="str">
        <f t="shared" si="2"/>
        <v/>
      </c>
      <c r="HJ66" s="4" t="str">
        <f t="shared" si="3"/>
        <v/>
      </c>
      <c r="HK66" s="4" t="str">
        <f t="shared" si="4"/>
        <v/>
      </c>
      <c r="HL66" s="4" t="str">
        <f t="shared" si="5"/>
        <v/>
      </c>
      <c r="HM66" s="4" t="str">
        <f t="shared" si="6"/>
        <v/>
      </c>
      <c r="HN66" s="4" t="str">
        <f t="shared" si="7"/>
        <v/>
      </c>
      <c r="HO66" s="4" t="str">
        <f t="shared" si="8"/>
        <v/>
      </c>
      <c r="HP66" s="4" t="str">
        <f t="shared" si="9"/>
        <v/>
      </c>
      <c r="HQ66" s="4" t="str">
        <f t="shared" si="10"/>
        <v/>
      </c>
      <c r="HR66" s="4" t="str">
        <f t="shared" si="11"/>
        <v/>
      </c>
      <c r="HS66" s="4" t="str">
        <f t="shared" si="12"/>
        <v/>
      </c>
      <c r="HT66" s="4" t="str">
        <f t="shared" si="13"/>
        <v/>
      </c>
      <c r="HU66" s="4" t="str">
        <f t="shared" si="14"/>
        <v/>
      </c>
      <c r="HV66" s="4" t="str">
        <f t="shared" si="15"/>
        <v/>
      </c>
      <c r="HW66" s="4" t="str">
        <f t="shared" si="16"/>
        <v/>
      </c>
      <c r="HX66" s="4" t="str">
        <f t="shared" si="17"/>
        <v/>
      </c>
      <c r="HY66" s="4" t="str">
        <f t="shared" si="18"/>
        <v/>
      </c>
      <c r="HZ66" s="4" t="str">
        <f t="shared" si="19"/>
        <v/>
      </c>
      <c r="IA66" s="4" t="str">
        <f t="shared" si="20"/>
        <v/>
      </c>
      <c r="IB66" s="4" t="str">
        <f t="shared" si="21"/>
        <v/>
      </c>
      <c r="IC66" s="4" t="str">
        <f t="shared" si="22"/>
        <v/>
      </c>
      <c r="ID66" s="4" t="str">
        <f t="shared" si="23"/>
        <v/>
      </c>
      <c r="IE66" s="4" t="str">
        <f t="shared" si="24"/>
        <v/>
      </c>
      <c r="IF66" s="4" t="str">
        <f t="shared" si="25"/>
        <v/>
      </c>
      <c r="IG66" s="4" t="str">
        <f t="shared" si="26"/>
        <v/>
      </c>
      <c r="IH66" s="4" t="str">
        <f t="shared" si="27"/>
        <v/>
      </c>
      <c r="II66" s="4" t="str">
        <f t="shared" si="28"/>
        <v/>
      </c>
      <c r="IJ66" s="4" t="str">
        <f t="shared" si="29"/>
        <v/>
      </c>
      <c r="IK66" s="4" t="str">
        <f t="shared" si="30"/>
        <v/>
      </c>
      <c r="IL66" s="4" t="str">
        <f t="shared" si="31"/>
        <v/>
      </c>
      <c r="IM66" s="4" t="str">
        <f t="shared" si="32"/>
        <v/>
      </c>
      <c r="IN66" s="4" t="str">
        <f t="shared" si="33"/>
        <v/>
      </c>
      <c r="IO66" s="4" t="str">
        <f t="shared" si="34"/>
        <v/>
      </c>
      <c r="IP66" s="4" t="str">
        <f t="shared" si="35"/>
        <v/>
      </c>
      <c r="IQ66" s="4" t="str">
        <f t="shared" si="36"/>
        <v/>
      </c>
      <c r="IR66" s="4" t="str">
        <f t="shared" si="37"/>
        <v/>
      </c>
      <c r="IS66" s="4" t="str">
        <f t="shared" si="38"/>
        <v/>
      </c>
      <c r="IT66" s="4" t="str">
        <f t="shared" si="39"/>
        <v/>
      </c>
      <c r="IU66" s="4" t="str">
        <f t="shared" si="40"/>
        <v/>
      </c>
      <c r="IV66" s="4" t="str">
        <f t="shared" si="41"/>
        <v/>
      </c>
      <c r="IW66" s="4" t="str">
        <f t="shared" si="42"/>
        <v/>
      </c>
      <c r="IX66" s="4" t="str">
        <f t="shared" si="43"/>
        <v/>
      </c>
      <c r="IY66" s="4" t="str">
        <f t="shared" si="44"/>
        <v/>
      </c>
      <c r="IZ66" s="4" t="str">
        <f t="shared" si="45"/>
        <v/>
      </c>
      <c r="JA66" s="4" t="str">
        <f t="shared" ref="JA66:JB66" si="282">if(ISERROR(SEARCH("Higher Education",BB66)),"","810")</f>
        <v/>
      </c>
      <c r="JB66" s="4" t="str">
        <f t="shared" si="282"/>
        <v/>
      </c>
      <c r="JC66" s="4" t="str">
        <f t="shared" si="47"/>
        <v/>
      </c>
      <c r="JD66" s="4" t="str">
        <f t="shared" si="48"/>
        <v/>
      </c>
      <c r="JE66" s="4" t="str">
        <f t="shared" si="49"/>
        <v/>
      </c>
      <c r="JF66" s="4" t="str">
        <f t="shared" si="50"/>
        <v/>
      </c>
      <c r="JG66" s="4" t="str">
        <f t="shared" si="51"/>
        <v/>
      </c>
      <c r="JH66" s="4" t="str">
        <f t="shared" si="52"/>
        <v/>
      </c>
      <c r="JI66" s="4" t="str">
        <f t="shared" si="53"/>
        <v/>
      </c>
      <c r="JJ66" s="4" t="str">
        <f t="shared" si="54"/>
        <v/>
      </c>
      <c r="JK66" s="4" t="str">
        <f t="shared" si="55"/>
        <v/>
      </c>
      <c r="JL66" s="4" t="str">
        <f t="shared" si="56"/>
        <v/>
      </c>
      <c r="JM66" s="4" t="str">
        <f t="shared" si="57"/>
        <v/>
      </c>
      <c r="JN66" s="4" t="str">
        <f t="shared" si="58"/>
        <v/>
      </c>
      <c r="JO66" s="4" t="str">
        <f t="shared" si="59"/>
        <v/>
      </c>
      <c r="JP66" s="4" t="str">
        <f t="shared" si="60"/>
        <v/>
      </c>
      <c r="JQ66" s="4" t="str">
        <f t="shared" si="61"/>
        <v/>
      </c>
      <c r="JR66" s="4" t="str">
        <f t="shared" si="62"/>
        <v/>
      </c>
      <c r="JS66" s="4" t="str">
        <f t="shared" si="63"/>
        <v/>
      </c>
      <c r="JT66" s="4" t="str">
        <f t="shared" si="64"/>
        <v/>
      </c>
      <c r="JU66" s="4" t="str">
        <f t="shared" si="65"/>
        <v/>
      </c>
      <c r="JV66" s="4" t="str">
        <f t="shared" si="66"/>
        <v/>
      </c>
      <c r="JW66" s="4" t="str">
        <f t="shared" si="67"/>
        <v/>
      </c>
      <c r="JX66" s="4" t="str">
        <f t="shared" si="68"/>
        <v/>
      </c>
      <c r="JY66" s="4" t="str">
        <f t="shared" si="69"/>
        <v/>
      </c>
      <c r="JZ66" s="4" t="str">
        <f t="shared" si="70"/>
        <v/>
      </c>
      <c r="KA66" s="4" t="str">
        <f t="shared" si="71"/>
        <v/>
      </c>
      <c r="KB66" s="4" t="str">
        <f t="shared" si="72"/>
        <v/>
      </c>
      <c r="KC66" s="4" t="str">
        <f t="shared" si="73"/>
        <v/>
      </c>
      <c r="KD66" s="4" t="str">
        <f t="shared" si="74"/>
        <v/>
      </c>
      <c r="KE66" s="4" t="str">
        <f t="shared" si="75"/>
        <v/>
      </c>
      <c r="KF66" s="4" t="str">
        <f t="shared" si="76"/>
        <v/>
      </c>
      <c r="KG66" s="4" t="str">
        <f t="shared" si="77"/>
        <v/>
      </c>
      <c r="KH66" s="4" t="str">
        <f t="shared" si="78"/>
        <v/>
      </c>
      <c r="KI66" s="4" t="str">
        <f t="shared" si="79"/>
        <v/>
      </c>
      <c r="KJ66" s="4" t="str">
        <f t="shared" si="80"/>
        <v/>
      </c>
      <c r="KK66" s="4" t="str">
        <f t="shared" si="81"/>
        <v/>
      </c>
      <c r="KL66" s="4" t="str">
        <f t="shared" si="82"/>
        <v/>
      </c>
      <c r="KM66" s="4" t="str">
        <f t="shared" si="83"/>
        <v/>
      </c>
      <c r="KN66" s="4" t="str">
        <f t="shared" si="84"/>
        <v/>
      </c>
      <c r="KO66" s="4" t="str">
        <f t="shared" si="85"/>
        <v/>
      </c>
      <c r="KP66" s="4" t="str">
        <f t="shared" si="86"/>
        <v/>
      </c>
      <c r="KQ66" s="4" t="str">
        <f t="shared" si="87"/>
        <v/>
      </c>
      <c r="KR66" s="4" t="str">
        <f t="shared" si="88"/>
        <v/>
      </c>
      <c r="KS66" s="4" t="str">
        <f t="shared" si="89"/>
        <v/>
      </c>
      <c r="KT66" s="4" t="str">
        <f t="shared" si="90"/>
        <v/>
      </c>
      <c r="KU66" s="4" t="str">
        <f t="shared" si="91"/>
        <v/>
      </c>
      <c r="KV66" s="4" t="str">
        <f t="shared" si="92"/>
        <v/>
      </c>
      <c r="KW66" s="4" t="str">
        <f t="shared" si="93"/>
        <v/>
      </c>
      <c r="KX66" s="4" t="str">
        <f t="shared" si="94"/>
        <v/>
      </c>
      <c r="KY66" s="4" t="str">
        <f t="shared" si="95"/>
        <v/>
      </c>
      <c r="KZ66" s="4" t="str">
        <f t="shared" si="96"/>
        <v/>
      </c>
      <c r="LA66" s="4" t="str">
        <f t="shared" si="97"/>
        <v/>
      </c>
      <c r="LB66" s="4" t="str">
        <f t="shared" si="98"/>
        <v/>
      </c>
      <c r="LC66" s="4" t="str">
        <f t="shared" si="99"/>
        <v/>
      </c>
      <c r="LD66" s="4" t="str">
        <f t="shared" si="100"/>
        <v/>
      </c>
      <c r="LE66" s="4" t="str">
        <f t="shared" si="101"/>
        <v/>
      </c>
      <c r="LF66" s="4" t="str">
        <f t="shared" si="102"/>
        <v/>
      </c>
      <c r="LG66" s="4" t="str">
        <f t="shared" si="103"/>
        <v/>
      </c>
      <c r="LH66" s="4" t="str">
        <f t="shared" si="104"/>
        <v/>
      </c>
      <c r="LI66" s="4" t="str">
        <f t="shared" si="105"/>
        <v/>
      </c>
      <c r="LJ66" s="4" t="str">
        <f t="shared" si="106"/>
        <v/>
      </c>
      <c r="LK66" s="4" t="str">
        <f t="shared" si="107"/>
        <v/>
      </c>
      <c r="LL66" s="4" t="str">
        <f t="shared" si="108"/>
        <v/>
      </c>
      <c r="LM66" s="4" t="str">
        <f t="shared" si="109"/>
        <v/>
      </c>
      <c r="LN66" s="4" t="str">
        <f t="shared" si="110"/>
        <v/>
      </c>
      <c r="LO66" s="4" t="str">
        <f t="shared" si="111"/>
        <v/>
      </c>
      <c r="LP66" s="4" t="str">
        <f t="shared" si="112"/>
        <v/>
      </c>
      <c r="LQ66" s="4" t="str">
        <f t="shared" si="113"/>
        <v/>
      </c>
      <c r="LR66" s="4" t="str">
        <f t="shared" si="114"/>
        <v/>
      </c>
      <c r="LS66" s="4" t="str">
        <f t="shared" si="115"/>
        <v/>
      </c>
      <c r="LT66" s="4" t="str">
        <f t="shared" si="116"/>
        <v/>
      </c>
      <c r="LU66" s="4" t="str">
        <f t="shared" si="117"/>
        <v/>
      </c>
      <c r="LV66" s="4" t="str">
        <f t="shared" si="118"/>
        <v/>
      </c>
      <c r="LW66" s="4" t="str">
        <f t="shared" si="119"/>
        <v/>
      </c>
      <c r="LX66" s="4" t="str">
        <f t="shared" si="120"/>
        <v/>
      </c>
      <c r="LY66" s="4" t="str">
        <f t="shared" si="121"/>
        <v/>
      </c>
      <c r="LZ66" s="4" t="str">
        <f t="shared" si="122"/>
        <v/>
      </c>
      <c r="MA66" s="4" t="str">
        <f t="shared" si="123"/>
        <v/>
      </c>
      <c r="MB66" s="4" t="str">
        <f t="shared" si="124"/>
        <v/>
      </c>
      <c r="MC66" s="4" t="str">
        <f t="shared" si="125"/>
        <v/>
      </c>
      <c r="MD66" s="4" t="str">
        <f t="shared" si="126"/>
        <v/>
      </c>
      <c r="ME66" s="4" t="str">
        <f t="shared" si="127"/>
        <v/>
      </c>
      <c r="MF66" s="4" t="str">
        <f t="shared" si="128"/>
        <v/>
      </c>
      <c r="MG66" s="4" t="str">
        <f t="shared" si="129"/>
        <v/>
      </c>
      <c r="MH66" s="4" t="str">
        <f t="shared" si="130"/>
        <v/>
      </c>
      <c r="MI66" s="4" t="str">
        <f t="shared" si="131"/>
        <v/>
      </c>
      <c r="MJ66" s="4" t="str">
        <f t="shared" si="132"/>
        <v/>
      </c>
      <c r="MK66" s="4" t="str">
        <f t="shared" si="133"/>
        <v/>
      </c>
      <c r="ML66" s="4" t="str">
        <f t="shared" si="134"/>
        <v/>
      </c>
      <c r="MM66" s="4" t="str">
        <f t="shared" si="135"/>
        <v/>
      </c>
      <c r="MN66" s="4" t="str">
        <f t="shared" si="136"/>
        <v/>
      </c>
      <c r="MO66" s="4" t="str">
        <f t="shared" si="137"/>
        <v/>
      </c>
      <c r="MP66" s="4" t="str">
        <f t="shared" si="138"/>
        <v/>
      </c>
      <c r="MQ66" s="4" t="str">
        <f t="shared" si="139"/>
        <v/>
      </c>
      <c r="MR66" s="4" t="str">
        <f t="shared" si="140"/>
        <v/>
      </c>
      <c r="MS66" s="4" t="str">
        <f t="shared" si="141"/>
        <v/>
      </c>
      <c r="MT66" s="4" t="str">
        <f t="shared" si="142"/>
        <v/>
      </c>
      <c r="MU66" s="4" t="str">
        <f t="shared" si="143"/>
        <v/>
      </c>
      <c r="MV66" s="4" t="str">
        <f t="shared" si="144"/>
        <v/>
      </c>
      <c r="MW66" s="4" t="str">
        <f t="shared" si="145"/>
        <v/>
      </c>
      <c r="MX66" s="4" t="str">
        <f t="shared" si="146"/>
        <v/>
      </c>
      <c r="MY66" s="4" t="str">
        <f t="shared" si="147"/>
        <v/>
      </c>
      <c r="MZ66" s="4" t="str">
        <f t="shared" si="148"/>
        <v/>
      </c>
      <c r="NA66" s="4" t="str">
        <f t="shared" si="149"/>
        <v/>
      </c>
      <c r="NB66" s="4" t="str">
        <f t="shared" si="150"/>
        <v/>
      </c>
      <c r="NC66" s="4" t="str">
        <f t="shared" si="151"/>
        <v/>
      </c>
      <c r="ND66" s="4" t="str">
        <f t="shared" si="152"/>
        <v/>
      </c>
      <c r="NE66" s="4" t="str">
        <f t="shared" si="153"/>
        <v/>
      </c>
      <c r="NF66" s="4" t="str">
        <f t="shared" si="154"/>
        <v/>
      </c>
      <c r="NG66" s="4" t="str">
        <f t="shared" si="155"/>
        <v/>
      </c>
      <c r="NH66" s="4" t="str">
        <f t="shared" si="156"/>
        <v/>
      </c>
      <c r="NI66" s="4" t="str">
        <f t="shared" si="157"/>
        <v/>
      </c>
      <c r="NJ66" s="4" t="str">
        <f t="shared" si="158"/>
        <v/>
      </c>
      <c r="NK66" s="4" t="str">
        <f t="shared" si="159"/>
        <v/>
      </c>
      <c r="NL66" s="4" t="str">
        <f t="shared" si="160"/>
        <v/>
      </c>
      <c r="NM66" s="4" t="str">
        <f t="shared" si="161"/>
        <v/>
      </c>
      <c r="NN66" s="4" t="str">
        <f t="shared" si="162"/>
        <v/>
      </c>
      <c r="NO66" s="4" t="str">
        <f t="shared" si="163"/>
        <v/>
      </c>
      <c r="NP66" s="4" t="str">
        <f t="shared" si="164"/>
        <v/>
      </c>
      <c r="NQ66" s="4" t="str">
        <f t="shared" si="165"/>
        <v/>
      </c>
      <c r="NR66" s="4" t="str">
        <f t="shared" si="166"/>
        <v/>
      </c>
      <c r="NS66" s="4" t="str">
        <f t="shared" si="167"/>
        <v/>
      </c>
      <c r="NT66" s="4" t="str">
        <f t="shared" si="168"/>
        <v/>
      </c>
      <c r="NU66" s="4" t="str">
        <f t="shared" si="169"/>
        <v/>
      </c>
      <c r="NV66" s="4" t="str">
        <f t="shared" si="170"/>
        <v/>
      </c>
      <c r="NW66" s="4" t="str">
        <f t="shared" si="171"/>
        <v/>
      </c>
      <c r="NX66" s="4" t="str">
        <f t="shared" si="172"/>
        <v/>
      </c>
      <c r="NY66" s="4" t="str">
        <f t="shared" si="173"/>
        <v/>
      </c>
      <c r="NZ66" s="4" t="str">
        <f t="shared" si="174"/>
        <v/>
      </c>
      <c r="OA66" s="4" t="str">
        <f t="shared" si="175"/>
        <v/>
      </c>
      <c r="OB66" s="4" t="str">
        <f t="shared" si="176"/>
        <v/>
      </c>
      <c r="OC66" s="4" t="str">
        <f t="shared" si="177"/>
        <v/>
      </c>
      <c r="OD66" s="4" t="str">
        <f t="shared" si="178"/>
        <v/>
      </c>
      <c r="OE66" s="4" t="str">
        <f t="shared" si="179"/>
        <v/>
      </c>
      <c r="OF66" s="4" t="str">
        <f t="shared" si="180"/>
        <v/>
      </c>
      <c r="OG66" s="4" t="str">
        <f t="shared" si="181"/>
        <v/>
      </c>
      <c r="OH66" s="4" t="str">
        <f t="shared" si="182"/>
        <v/>
      </c>
      <c r="OI66" s="4" t="str">
        <f t="shared" si="183"/>
        <v/>
      </c>
      <c r="OJ66" s="4" t="str">
        <f t="shared" si="184"/>
        <v/>
      </c>
      <c r="OK66" s="4" t="str">
        <f t="shared" si="185"/>
        <v/>
      </c>
      <c r="OL66" s="4" t="str">
        <f t="shared" si="186"/>
        <v/>
      </c>
      <c r="OM66" s="4" t="str">
        <f t="shared" si="187"/>
        <v/>
      </c>
      <c r="ON66" s="4" t="str">
        <f t="shared" si="188"/>
        <v/>
      </c>
      <c r="OO66" s="4" t="str">
        <f t="shared" si="189"/>
        <v/>
      </c>
      <c r="OP66" s="4" t="str">
        <f t="shared" si="190"/>
        <v/>
      </c>
      <c r="OQ66" s="4" t="str">
        <f t="shared" si="191"/>
        <v/>
      </c>
      <c r="OR66" s="4" t="str">
        <f t="shared" si="192"/>
        <v/>
      </c>
      <c r="OS66" s="4" t="str">
        <f t="shared" si="193"/>
        <v/>
      </c>
      <c r="OT66" s="4" t="str">
        <f t="shared" si="194"/>
        <v/>
      </c>
      <c r="OU66" s="4" t="str">
        <f t="shared" si="195"/>
        <v/>
      </c>
      <c r="OV66" s="4" t="str">
        <f t="shared" si="196"/>
        <v/>
      </c>
      <c r="OW66" s="4" t="str">
        <f t="shared" si="197"/>
        <v/>
      </c>
      <c r="OX66" s="4" t="str">
        <f t="shared" si="198"/>
        <v/>
      </c>
      <c r="OY66" s="4" t="str">
        <f t="shared" si="199"/>
        <v/>
      </c>
      <c r="OZ66" s="4" t="str">
        <f t="shared" si="200"/>
        <v/>
      </c>
      <c r="PA66" s="4" t="str">
        <f t="shared" si="201"/>
        <v/>
      </c>
      <c r="PB66" s="4" t="str">
        <f t="shared" si="202"/>
        <v/>
      </c>
      <c r="PC66" s="4" t="str">
        <f t="shared" si="203"/>
        <v/>
      </c>
      <c r="PD66" s="4" t="str">
        <f t="shared" si="204"/>
        <v/>
      </c>
      <c r="PE66" s="4" t="str">
        <f t="shared" si="205"/>
        <v/>
      </c>
      <c r="PF66" s="4" t="str">
        <f t="shared" si="206"/>
        <v/>
      </c>
      <c r="PG66" s="4" t="str">
        <f t="shared" si="207"/>
        <v/>
      </c>
      <c r="PH66" s="4" t="str">
        <f t="shared" si="208"/>
        <v/>
      </c>
      <c r="PI66" s="4" t="str">
        <f t="shared" si="209"/>
        <v/>
      </c>
      <c r="PJ66" s="4" t="str">
        <f t="shared" si="210"/>
        <v/>
      </c>
      <c r="PK66" s="4" t="str">
        <f t="shared" si="211"/>
        <v/>
      </c>
      <c r="PL66" s="4" t="str">
        <f t="shared" si="212"/>
        <v/>
      </c>
      <c r="PM66" s="4" t="str">
        <f t="shared" si="213"/>
        <v/>
      </c>
      <c r="PN66" s="4" t="str">
        <f t="shared" si="214"/>
        <v/>
      </c>
      <c r="PO66" s="4" t="str">
        <f t="shared" si="215"/>
        <v/>
      </c>
      <c r="PP66" s="4" t="str">
        <f t="shared" si="216"/>
        <v/>
      </c>
      <c r="PQ66" s="4" t="str">
        <f t="shared" si="217"/>
        <v/>
      </c>
      <c r="PR66" s="4" t="str">
        <f t="shared" si="218"/>
        <v/>
      </c>
      <c r="PS66" s="4" t="str">
        <f t="shared" si="219"/>
        <v/>
      </c>
    </row>
    <row r="67">
      <c r="HI67" s="4" t="str">
        <f t="shared" si="2"/>
        <v/>
      </c>
      <c r="HJ67" s="4" t="str">
        <f t="shared" si="3"/>
        <v/>
      </c>
      <c r="HK67" s="4" t="str">
        <f t="shared" si="4"/>
        <v/>
      </c>
      <c r="HL67" s="4" t="str">
        <f t="shared" si="5"/>
        <v/>
      </c>
      <c r="HM67" s="4" t="str">
        <f t="shared" si="6"/>
        <v/>
      </c>
      <c r="HN67" s="4" t="str">
        <f t="shared" si="7"/>
        <v/>
      </c>
      <c r="HO67" s="4" t="str">
        <f t="shared" si="8"/>
        <v/>
      </c>
      <c r="HP67" s="4" t="str">
        <f t="shared" si="9"/>
        <v/>
      </c>
      <c r="HQ67" s="4" t="str">
        <f t="shared" si="10"/>
        <v/>
      </c>
      <c r="HR67" s="4" t="str">
        <f t="shared" si="11"/>
        <v/>
      </c>
      <c r="HS67" s="4" t="str">
        <f t="shared" si="12"/>
        <v/>
      </c>
      <c r="HT67" s="4" t="str">
        <f t="shared" si="13"/>
        <v/>
      </c>
      <c r="HU67" s="4" t="str">
        <f t="shared" si="14"/>
        <v/>
      </c>
      <c r="HV67" s="4" t="str">
        <f t="shared" si="15"/>
        <v/>
      </c>
      <c r="HW67" s="4" t="str">
        <f t="shared" si="16"/>
        <v/>
      </c>
      <c r="HX67" s="4" t="str">
        <f t="shared" si="17"/>
        <v/>
      </c>
      <c r="HY67" s="4" t="str">
        <f t="shared" si="18"/>
        <v/>
      </c>
      <c r="HZ67" s="4" t="str">
        <f t="shared" si="19"/>
        <v/>
      </c>
      <c r="IA67" s="4" t="str">
        <f t="shared" si="20"/>
        <v/>
      </c>
      <c r="IB67" s="4" t="str">
        <f t="shared" si="21"/>
        <v/>
      </c>
      <c r="IC67" s="4" t="str">
        <f t="shared" si="22"/>
        <v/>
      </c>
      <c r="ID67" s="4" t="str">
        <f t="shared" si="23"/>
        <v/>
      </c>
      <c r="IE67" s="4" t="str">
        <f t="shared" si="24"/>
        <v/>
      </c>
      <c r="IF67" s="4" t="str">
        <f t="shared" si="25"/>
        <v/>
      </c>
      <c r="IG67" s="4" t="str">
        <f t="shared" si="26"/>
        <v/>
      </c>
      <c r="IH67" s="4" t="str">
        <f t="shared" si="27"/>
        <v/>
      </c>
      <c r="II67" s="4" t="str">
        <f t="shared" si="28"/>
        <v/>
      </c>
      <c r="IJ67" s="4" t="str">
        <f t="shared" si="29"/>
        <v/>
      </c>
      <c r="IK67" s="4" t="str">
        <f t="shared" si="30"/>
        <v/>
      </c>
      <c r="IL67" s="4" t="str">
        <f t="shared" si="31"/>
        <v/>
      </c>
      <c r="IM67" s="4" t="str">
        <f t="shared" si="32"/>
        <v/>
      </c>
      <c r="IN67" s="4" t="str">
        <f t="shared" si="33"/>
        <v/>
      </c>
      <c r="IO67" s="4" t="str">
        <f t="shared" si="34"/>
        <v/>
      </c>
      <c r="IP67" s="4" t="str">
        <f t="shared" si="35"/>
        <v/>
      </c>
      <c r="IQ67" s="4" t="str">
        <f t="shared" si="36"/>
        <v/>
      </c>
      <c r="IR67" s="4" t="str">
        <f t="shared" si="37"/>
        <v/>
      </c>
      <c r="IS67" s="4" t="str">
        <f t="shared" si="38"/>
        <v/>
      </c>
      <c r="IT67" s="4" t="str">
        <f t="shared" si="39"/>
        <v/>
      </c>
      <c r="IU67" s="4" t="str">
        <f t="shared" si="40"/>
        <v/>
      </c>
      <c r="IV67" s="4" t="str">
        <f t="shared" si="41"/>
        <v/>
      </c>
      <c r="IW67" s="4" t="str">
        <f t="shared" si="42"/>
        <v/>
      </c>
      <c r="IX67" s="4" t="str">
        <f t="shared" si="43"/>
        <v/>
      </c>
      <c r="IY67" s="4" t="str">
        <f t="shared" si="44"/>
        <v/>
      </c>
      <c r="IZ67" s="4" t="str">
        <f t="shared" si="45"/>
        <v/>
      </c>
      <c r="JA67" s="4" t="str">
        <f t="shared" ref="JA67:JB67" si="283">if(ISERROR(SEARCH("Higher Education",BB67)),"","810")</f>
        <v/>
      </c>
      <c r="JB67" s="4" t="str">
        <f t="shared" si="283"/>
        <v/>
      </c>
      <c r="JC67" s="4" t="str">
        <f t="shared" si="47"/>
        <v/>
      </c>
      <c r="JD67" s="4" t="str">
        <f t="shared" si="48"/>
        <v/>
      </c>
      <c r="JE67" s="4" t="str">
        <f t="shared" si="49"/>
        <v/>
      </c>
      <c r="JF67" s="4" t="str">
        <f t="shared" si="50"/>
        <v/>
      </c>
      <c r="JG67" s="4" t="str">
        <f t="shared" si="51"/>
        <v/>
      </c>
      <c r="JH67" s="4" t="str">
        <f t="shared" si="52"/>
        <v/>
      </c>
      <c r="JI67" s="4" t="str">
        <f t="shared" si="53"/>
        <v/>
      </c>
      <c r="JJ67" s="4" t="str">
        <f t="shared" si="54"/>
        <v/>
      </c>
      <c r="JK67" s="4" t="str">
        <f t="shared" si="55"/>
        <v/>
      </c>
      <c r="JL67" s="4" t="str">
        <f t="shared" si="56"/>
        <v/>
      </c>
      <c r="JM67" s="4" t="str">
        <f t="shared" si="57"/>
        <v/>
      </c>
      <c r="JN67" s="4" t="str">
        <f t="shared" si="58"/>
        <v/>
      </c>
      <c r="JO67" s="4" t="str">
        <f t="shared" si="59"/>
        <v/>
      </c>
      <c r="JP67" s="4" t="str">
        <f t="shared" si="60"/>
        <v/>
      </c>
      <c r="JQ67" s="4" t="str">
        <f t="shared" si="61"/>
        <v/>
      </c>
      <c r="JR67" s="4" t="str">
        <f t="shared" si="62"/>
        <v/>
      </c>
      <c r="JS67" s="4" t="str">
        <f t="shared" si="63"/>
        <v/>
      </c>
      <c r="JT67" s="4" t="str">
        <f t="shared" si="64"/>
        <v/>
      </c>
      <c r="JU67" s="4" t="str">
        <f t="shared" si="65"/>
        <v/>
      </c>
      <c r="JV67" s="4" t="str">
        <f t="shared" si="66"/>
        <v/>
      </c>
      <c r="JW67" s="4" t="str">
        <f t="shared" si="67"/>
        <v/>
      </c>
      <c r="JX67" s="4" t="str">
        <f t="shared" si="68"/>
        <v/>
      </c>
      <c r="JY67" s="4" t="str">
        <f t="shared" si="69"/>
        <v/>
      </c>
      <c r="JZ67" s="4" t="str">
        <f t="shared" si="70"/>
        <v/>
      </c>
      <c r="KA67" s="4" t="str">
        <f t="shared" si="71"/>
        <v/>
      </c>
      <c r="KB67" s="4" t="str">
        <f t="shared" si="72"/>
        <v/>
      </c>
      <c r="KC67" s="4" t="str">
        <f t="shared" si="73"/>
        <v/>
      </c>
      <c r="KD67" s="4" t="str">
        <f t="shared" si="74"/>
        <v/>
      </c>
      <c r="KE67" s="4" t="str">
        <f t="shared" si="75"/>
        <v/>
      </c>
      <c r="KF67" s="4" t="str">
        <f t="shared" si="76"/>
        <v/>
      </c>
      <c r="KG67" s="4" t="str">
        <f t="shared" si="77"/>
        <v/>
      </c>
      <c r="KH67" s="4" t="str">
        <f t="shared" si="78"/>
        <v/>
      </c>
      <c r="KI67" s="4" t="str">
        <f t="shared" si="79"/>
        <v/>
      </c>
      <c r="KJ67" s="4" t="str">
        <f t="shared" si="80"/>
        <v/>
      </c>
      <c r="KK67" s="4" t="str">
        <f t="shared" si="81"/>
        <v/>
      </c>
      <c r="KL67" s="4" t="str">
        <f t="shared" si="82"/>
        <v/>
      </c>
      <c r="KM67" s="4" t="str">
        <f t="shared" si="83"/>
        <v/>
      </c>
      <c r="KN67" s="4" t="str">
        <f t="shared" si="84"/>
        <v/>
      </c>
      <c r="KO67" s="4" t="str">
        <f t="shared" si="85"/>
        <v/>
      </c>
      <c r="KP67" s="4" t="str">
        <f t="shared" si="86"/>
        <v/>
      </c>
      <c r="KQ67" s="4" t="str">
        <f t="shared" si="87"/>
        <v/>
      </c>
      <c r="KR67" s="4" t="str">
        <f t="shared" si="88"/>
        <v/>
      </c>
      <c r="KS67" s="4" t="str">
        <f t="shared" si="89"/>
        <v/>
      </c>
      <c r="KT67" s="4" t="str">
        <f t="shared" si="90"/>
        <v/>
      </c>
      <c r="KU67" s="4" t="str">
        <f t="shared" si="91"/>
        <v/>
      </c>
      <c r="KV67" s="4" t="str">
        <f t="shared" si="92"/>
        <v/>
      </c>
      <c r="KW67" s="4" t="str">
        <f t="shared" si="93"/>
        <v/>
      </c>
      <c r="KX67" s="4" t="str">
        <f t="shared" si="94"/>
        <v/>
      </c>
      <c r="KY67" s="4" t="str">
        <f t="shared" si="95"/>
        <v/>
      </c>
      <c r="KZ67" s="4" t="str">
        <f t="shared" si="96"/>
        <v/>
      </c>
      <c r="LA67" s="4" t="str">
        <f t="shared" si="97"/>
        <v/>
      </c>
      <c r="LB67" s="4" t="str">
        <f t="shared" si="98"/>
        <v/>
      </c>
      <c r="LC67" s="4" t="str">
        <f t="shared" si="99"/>
        <v/>
      </c>
      <c r="LD67" s="4" t="str">
        <f t="shared" si="100"/>
        <v/>
      </c>
      <c r="LE67" s="4" t="str">
        <f t="shared" si="101"/>
        <v/>
      </c>
      <c r="LF67" s="4" t="str">
        <f t="shared" si="102"/>
        <v/>
      </c>
      <c r="LG67" s="4" t="str">
        <f t="shared" si="103"/>
        <v/>
      </c>
      <c r="LH67" s="4" t="str">
        <f t="shared" si="104"/>
        <v/>
      </c>
      <c r="LI67" s="4" t="str">
        <f t="shared" si="105"/>
        <v/>
      </c>
      <c r="LJ67" s="4" t="str">
        <f t="shared" si="106"/>
        <v/>
      </c>
      <c r="LK67" s="4" t="str">
        <f t="shared" si="107"/>
        <v/>
      </c>
      <c r="LL67" s="4" t="str">
        <f t="shared" si="108"/>
        <v/>
      </c>
      <c r="LM67" s="4" t="str">
        <f t="shared" si="109"/>
        <v/>
      </c>
      <c r="LN67" s="4" t="str">
        <f t="shared" si="110"/>
        <v/>
      </c>
      <c r="LO67" s="4" t="str">
        <f t="shared" si="111"/>
        <v/>
      </c>
      <c r="LP67" s="4" t="str">
        <f t="shared" si="112"/>
        <v/>
      </c>
      <c r="LQ67" s="4" t="str">
        <f t="shared" si="113"/>
        <v/>
      </c>
      <c r="LR67" s="4" t="str">
        <f t="shared" si="114"/>
        <v/>
      </c>
      <c r="LS67" s="4" t="str">
        <f t="shared" si="115"/>
        <v/>
      </c>
      <c r="LT67" s="4" t="str">
        <f t="shared" si="116"/>
        <v/>
      </c>
      <c r="LU67" s="4" t="str">
        <f t="shared" si="117"/>
        <v/>
      </c>
      <c r="LV67" s="4" t="str">
        <f t="shared" si="118"/>
        <v/>
      </c>
      <c r="LW67" s="4" t="str">
        <f t="shared" si="119"/>
        <v/>
      </c>
      <c r="LX67" s="4" t="str">
        <f t="shared" si="120"/>
        <v/>
      </c>
      <c r="LY67" s="4" t="str">
        <f t="shared" si="121"/>
        <v/>
      </c>
      <c r="LZ67" s="4" t="str">
        <f t="shared" si="122"/>
        <v/>
      </c>
      <c r="MA67" s="4" t="str">
        <f t="shared" si="123"/>
        <v/>
      </c>
      <c r="MB67" s="4" t="str">
        <f t="shared" si="124"/>
        <v/>
      </c>
      <c r="MC67" s="4" t="str">
        <f t="shared" si="125"/>
        <v/>
      </c>
      <c r="MD67" s="4" t="str">
        <f t="shared" si="126"/>
        <v/>
      </c>
      <c r="ME67" s="4" t="str">
        <f t="shared" si="127"/>
        <v/>
      </c>
      <c r="MF67" s="4" t="str">
        <f t="shared" si="128"/>
        <v/>
      </c>
      <c r="MG67" s="4" t="str">
        <f t="shared" si="129"/>
        <v/>
      </c>
      <c r="MH67" s="4" t="str">
        <f t="shared" si="130"/>
        <v/>
      </c>
      <c r="MI67" s="4" t="str">
        <f t="shared" si="131"/>
        <v/>
      </c>
      <c r="MJ67" s="4" t="str">
        <f t="shared" si="132"/>
        <v/>
      </c>
      <c r="MK67" s="4" t="str">
        <f t="shared" si="133"/>
        <v/>
      </c>
      <c r="ML67" s="4" t="str">
        <f t="shared" si="134"/>
        <v/>
      </c>
      <c r="MM67" s="4" t="str">
        <f t="shared" si="135"/>
        <v/>
      </c>
      <c r="MN67" s="4" t="str">
        <f t="shared" si="136"/>
        <v/>
      </c>
      <c r="MO67" s="4" t="str">
        <f t="shared" si="137"/>
        <v/>
      </c>
      <c r="MP67" s="4" t="str">
        <f t="shared" si="138"/>
        <v/>
      </c>
      <c r="MQ67" s="4" t="str">
        <f t="shared" si="139"/>
        <v/>
      </c>
      <c r="MR67" s="4" t="str">
        <f t="shared" si="140"/>
        <v/>
      </c>
      <c r="MS67" s="4" t="str">
        <f t="shared" si="141"/>
        <v/>
      </c>
      <c r="MT67" s="4" t="str">
        <f t="shared" si="142"/>
        <v/>
      </c>
      <c r="MU67" s="4" t="str">
        <f t="shared" si="143"/>
        <v/>
      </c>
      <c r="MV67" s="4" t="str">
        <f t="shared" si="144"/>
        <v/>
      </c>
      <c r="MW67" s="4" t="str">
        <f t="shared" si="145"/>
        <v/>
      </c>
      <c r="MX67" s="4" t="str">
        <f t="shared" si="146"/>
        <v/>
      </c>
      <c r="MY67" s="4" t="str">
        <f t="shared" si="147"/>
        <v/>
      </c>
      <c r="MZ67" s="4" t="str">
        <f t="shared" si="148"/>
        <v/>
      </c>
      <c r="NA67" s="4" t="str">
        <f t="shared" si="149"/>
        <v/>
      </c>
      <c r="NB67" s="4" t="str">
        <f t="shared" si="150"/>
        <v/>
      </c>
      <c r="NC67" s="4" t="str">
        <f t="shared" si="151"/>
        <v/>
      </c>
      <c r="ND67" s="4" t="str">
        <f t="shared" si="152"/>
        <v/>
      </c>
      <c r="NE67" s="4" t="str">
        <f t="shared" si="153"/>
        <v/>
      </c>
      <c r="NF67" s="4" t="str">
        <f t="shared" si="154"/>
        <v/>
      </c>
      <c r="NG67" s="4" t="str">
        <f t="shared" si="155"/>
        <v/>
      </c>
      <c r="NH67" s="4" t="str">
        <f t="shared" si="156"/>
        <v/>
      </c>
      <c r="NI67" s="4" t="str">
        <f t="shared" si="157"/>
        <v/>
      </c>
      <c r="NJ67" s="4" t="str">
        <f t="shared" si="158"/>
        <v/>
      </c>
      <c r="NK67" s="4" t="str">
        <f t="shared" si="159"/>
        <v/>
      </c>
      <c r="NL67" s="4" t="str">
        <f t="shared" si="160"/>
        <v/>
      </c>
      <c r="NM67" s="4" t="str">
        <f t="shared" si="161"/>
        <v/>
      </c>
      <c r="NN67" s="4" t="str">
        <f t="shared" si="162"/>
        <v/>
      </c>
      <c r="NO67" s="4" t="str">
        <f t="shared" si="163"/>
        <v/>
      </c>
      <c r="NP67" s="4" t="str">
        <f t="shared" si="164"/>
        <v/>
      </c>
      <c r="NQ67" s="4" t="str">
        <f t="shared" si="165"/>
        <v/>
      </c>
      <c r="NR67" s="4" t="str">
        <f t="shared" si="166"/>
        <v/>
      </c>
      <c r="NS67" s="4" t="str">
        <f t="shared" si="167"/>
        <v/>
      </c>
      <c r="NT67" s="4" t="str">
        <f t="shared" si="168"/>
        <v/>
      </c>
      <c r="NU67" s="4" t="str">
        <f t="shared" si="169"/>
        <v/>
      </c>
      <c r="NV67" s="4" t="str">
        <f t="shared" si="170"/>
        <v/>
      </c>
      <c r="NW67" s="4" t="str">
        <f t="shared" si="171"/>
        <v/>
      </c>
      <c r="NX67" s="4" t="str">
        <f t="shared" si="172"/>
        <v/>
      </c>
      <c r="NY67" s="4" t="str">
        <f t="shared" si="173"/>
        <v/>
      </c>
      <c r="NZ67" s="4" t="str">
        <f t="shared" si="174"/>
        <v/>
      </c>
      <c r="OA67" s="4" t="str">
        <f t="shared" si="175"/>
        <v/>
      </c>
      <c r="OB67" s="4" t="str">
        <f t="shared" si="176"/>
        <v/>
      </c>
      <c r="OC67" s="4" t="str">
        <f t="shared" si="177"/>
        <v/>
      </c>
      <c r="OD67" s="4" t="str">
        <f t="shared" si="178"/>
        <v/>
      </c>
      <c r="OE67" s="4" t="str">
        <f t="shared" si="179"/>
        <v/>
      </c>
      <c r="OF67" s="4" t="str">
        <f t="shared" si="180"/>
        <v/>
      </c>
      <c r="OG67" s="4" t="str">
        <f t="shared" si="181"/>
        <v/>
      </c>
      <c r="OH67" s="4" t="str">
        <f t="shared" si="182"/>
        <v/>
      </c>
      <c r="OI67" s="4" t="str">
        <f t="shared" si="183"/>
        <v/>
      </c>
      <c r="OJ67" s="4" t="str">
        <f t="shared" si="184"/>
        <v/>
      </c>
      <c r="OK67" s="4" t="str">
        <f t="shared" si="185"/>
        <v/>
      </c>
      <c r="OL67" s="4" t="str">
        <f t="shared" si="186"/>
        <v/>
      </c>
      <c r="OM67" s="4" t="str">
        <f t="shared" si="187"/>
        <v/>
      </c>
      <c r="ON67" s="4" t="str">
        <f t="shared" si="188"/>
        <v/>
      </c>
      <c r="OO67" s="4" t="str">
        <f t="shared" si="189"/>
        <v/>
      </c>
      <c r="OP67" s="4" t="str">
        <f t="shared" si="190"/>
        <v/>
      </c>
      <c r="OQ67" s="4" t="str">
        <f t="shared" si="191"/>
        <v/>
      </c>
      <c r="OR67" s="4" t="str">
        <f t="shared" si="192"/>
        <v/>
      </c>
      <c r="OS67" s="4" t="str">
        <f t="shared" si="193"/>
        <v/>
      </c>
      <c r="OT67" s="4" t="str">
        <f t="shared" si="194"/>
        <v/>
      </c>
      <c r="OU67" s="4" t="str">
        <f t="shared" si="195"/>
        <v/>
      </c>
      <c r="OV67" s="4" t="str">
        <f t="shared" si="196"/>
        <v/>
      </c>
      <c r="OW67" s="4" t="str">
        <f t="shared" si="197"/>
        <v/>
      </c>
      <c r="OX67" s="4" t="str">
        <f t="shared" si="198"/>
        <v/>
      </c>
      <c r="OY67" s="4" t="str">
        <f t="shared" si="199"/>
        <v/>
      </c>
      <c r="OZ67" s="4" t="str">
        <f t="shared" si="200"/>
        <v/>
      </c>
      <c r="PA67" s="4" t="str">
        <f t="shared" si="201"/>
        <v/>
      </c>
      <c r="PB67" s="4" t="str">
        <f t="shared" si="202"/>
        <v/>
      </c>
      <c r="PC67" s="4" t="str">
        <f t="shared" si="203"/>
        <v/>
      </c>
      <c r="PD67" s="4" t="str">
        <f t="shared" si="204"/>
        <v/>
      </c>
      <c r="PE67" s="4" t="str">
        <f t="shared" si="205"/>
        <v/>
      </c>
      <c r="PF67" s="4" t="str">
        <f t="shared" si="206"/>
        <v/>
      </c>
      <c r="PG67" s="4" t="str">
        <f t="shared" si="207"/>
        <v/>
      </c>
      <c r="PH67" s="4" t="str">
        <f t="shared" si="208"/>
        <v/>
      </c>
      <c r="PI67" s="4" t="str">
        <f t="shared" si="209"/>
        <v/>
      </c>
      <c r="PJ67" s="4" t="str">
        <f t="shared" si="210"/>
        <v/>
      </c>
      <c r="PK67" s="4" t="str">
        <f t="shared" si="211"/>
        <v/>
      </c>
      <c r="PL67" s="4" t="str">
        <f t="shared" si="212"/>
        <v/>
      </c>
      <c r="PM67" s="4" t="str">
        <f t="shared" si="213"/>
        <v/>
      </c>
      <c r="PN67" s="4" t="str">
        <f t="shared" si="214"/>
        <v/>
      </c>
      <c r="PO67" s="4" t="str">
        <f t="shared" si="215"/>
        <v/>
      </c>
      <c r="PP67" s="4" t="str">
        <f t="shared" si="216"/>
        <v/>
      </c>
      <c r="PQ67" s="4" t="str">
        <f t="shared" si="217"/>
        <v/>
      </c>
      <c r="PR67" s="4" t="str">
        <f t="shared" si="218"/>
        <v/>
      </c>
      <c r="PS67" s="4" t="str">
        <f t="shared" si="219"/>
        <v/>
      </c>
    </row>
    <row r="68">
      <c r="HI68" s="4" t="str">
        <f t="shared" si="2"/>
        <v/>
      </c>
      <c r="HJ68" s="4" t="str">
        <f t="shared" si="3"/>
        <v/>
      </c>
      <c r="HK68" s="4" t="str">
        <f t="shared" si="4"/>
        <v/>
      </c>
      <c r="HL68" s="4" t="str">
        <f t="shared" si="5"/>
        <v/>
      </c>
      <c r="HM68" s="4" t="str">
        <f t="shared" si="6"/>
        <v/>
      </c>
      <c r="HN68" s="4" t="str">
        <f t="shared" si="7"/>
        <v/>
      </c>
      <c r="HO68" s="4" t="str">
        <f t="shared" si="8"/>
        <v/>
      </c>
      <c r="HP68" s="4" t="str">
        <f t="shared" si="9"/>
        <v/>
      </c>
      <c r="HQ68" s="4" t="str">
        <f t="shared" si="10"/>
        <v/>
      </c>
      <c r="HR68" s="4" t="str">
        <f t="shared" si="11"/>
        <v/>
      </c>
      <c r="HS68" s="4" t="str">
        <f t="shared" si="12"/>
        <v/>
      </c>
      <c r="HT68" s="4" t="str">
        <f t="shared" si="13"/>
        <v/>
      </c>
      <c r="HU68" s="4" t="str">
        <f t="shared" si="14"/>
        <v/>
      </c>
      <c r="HV68" s="4" t="str">
        <f t="shared" si="15"/>
        <v/>
      </c>
      <c r="HW68" s="4" t="str">
        <f t="shared" si="16"/>
        <v/>
      </c>
      <c r="HX68" s="4" t="str">
        <f t="shared" si="17"/>
        <v/>
      </c>
      <c r="HY68" s="4" t="str">
        <f t="shared" si="18"/>
        <v/>
      </c>
      <c r="HZ68" s="4" t="str">
        <f t="shared" si="19"/>
        <v/>
      </c>
      <c r="IA68" s="4" t="str">
        <f t="shared" si="20"/>
        <v/>
      </c>
      <c r="IB68" s="4" t="str">
        <f t="shared" si="21"/>
        <v/>
      </c>
      <c r="IC68" s="4" t="str">
        <f t="shared" si="22"/>
        <v/>
      </c>
      <c r="ID68" s="4" t="str">
        <f t="shared" si="23"/>
        <v/>
      </c>
      <c r="IE68" s="4" t="str">
        <f t="shared" si="24"/>
        <v/>
      </c>
      <c r="IF68" s="4" t="str">
        <f t="shared" si="25"/>
        <v/>
      </c>
      <c r="IG68" s="4" t="str">
        <f t="shared" si="26"/>
        <v/>
      </c>
      <c r="IH68" s="4" t="str">
        <f t="shared" si="27"/>
        <v/>
      </c>
      <c r="II68" s="4" t="str">
        <f t="shared" si="28"/>
        <v/>
      </c>
      <c r="IJ68" s="4" t="str">
        <f t="shared" si="29"/>
        <v/>
      </c>
      <c r="IK68" s="4" t="str">
        <f t="shared" si="30"/>
        <v/>
      </c>
      <c r="IL68" s="4" t="str">
        <f t="shared" si="31"/>
        <v/>
      </c>
      <c r="IM68" s="4" t="str">
        <f t="shared" si="32"/>
        <v/>
      </c>
      <c r="IN68" s="4" t="str">
        <f t="shared" si="33"/>
        <v/>
      </c>
      <c r="IO68" s="4" t="str">
        <f t="shared" si="34"/>
        <v/>
      </c>
      <c r="IP68" s="4" t="str">
        <f t="shared" si="35"/>
        <v/>
      </c>
      <c r="IQ68" s="4" t="str">
        <f t="shared" si="36"/>
        <v/>
      </c>
      <c r="IR68" s="4" t="str">
        <f t="shared" si="37"/>
        <v/>
      </c>
      <c r="IS68" s="4" t="str">
        <f t="shared" si="38"/>
        <v/>
      </c>
      <c r="IT68" s="4" t="str">
        <f t="shared" si="39"/>
        <v/>
      </c>
      <c r="IU68" s="4" t="str">
        <f t="shared" si="40"/>
        <v/>
      </c>
      <c r="IV68" s="4" t="str">
        <f t="shared" si="41"/>
        <v/>
      </c>
      <c r="IW68" s="4" t="str">
        <f t="shared" si="42"/>
        <v/>
      </c>
      <c r="IX68" s="4" t="str">
        <f t="shared" si="43"/>
        <v/>
      </c>
      <c r="IY68" s="4" t="str">
        <f t="shared" si="44"/>
        <v/>
      </c>
      <c r="IZ68" s="4" t="str">
        <f t="shared" si="45"/>
        <v/>
      </c>
      <c r="JA68" s="4" t="str">
        <f t="shared" ref="JA68:JB68" si="284">if(ISERROR(SEARCH("Higher Education",BB68)),"","810")</f>
        <v/>
      </c>
      <c r="JB68" s="4" t="str">
        <f t="shared" si="284"/>
        <v/>
      </c>
      <c r="JC68" s="4" t="str">
        <f t="shared" si="47"/>
        <v/>
      </c>
      <c r="JD68" s="4" t="str">
        <f t="shared" si="48"/>
        <v/>
      </c>
      <c r="JE68" s="4" t="str">
        <f t="shared" si="49"/>
        <v/>
      </c>
      <c r="JF68" s="4" t="str">
        <f t="shared" si="50"/>
        <v/>
      </c>
      <c r="JG68" s="4" t="str">
        <f t="shared" si="51"/>
        <v/>
      </c>
      <c r="JH68" s="4" t="str">
        <f t="shared" si="52"/>
        <v/>
      </c>
      <c r="JI68" s="4" t="str">
        <f t="shared" si="53"/>
        <v/>
      </c>
      <c r="JJ68" s="4" t="str">
        <f t="shared" si="54"/>
        <v/>
      </c>
      <c r="JK68" s="4" t="str">
        <f t="shared" si="55"/>
        <v/>
      </c>
      <c r="JL68" s="4" t="str">
        <f t="shared" si="56"/>
        <v/>
      </c>
      <c r="JM68" s="4" t="str">
        <f t="shared" si="57"/>
        <v/>
      </c>
      <c r="JN68" s="4" t="str">
        <f t="shared" si="58"/>
        <v/>
      </c>
      <c r="JO68" s="4" t="str">
        <f t="shared" si="59"/>
        <v/>
      </c>
      <c r="JP68" s="4" t="str">
        <f t="shared" si="60"/>
        <v/>
      </c>
      <c r="JQ68" s="4" t="str">
        <f t="shared" si="61"/>
        <v/>
      </c>
      <c r="JR68" s="4" t="str">
        <f t="shared" si="62"/>
        <v/>
      </c>
      <c r="JS68" s="4" t="str">
        <f t="shared" si="63"/>
        <v/>
      </c>
      <c r="JT68" s="4" t="str">
        <f t="shared" si="64"/>
        <v/>
      </c>
      <c r="JU68" s="4" t="str">
        <f t="shared" si="65"/>
        <v/>
      </c>
      <c r="JV68" s="4" t="str">
        <f t="shared" si="66"/>
        <v/>
      </c>
      <c r="JW68" s="4" t="str">
        <f t="shared" si="67"/>
        <v/>
      </c>
      <c r="JX68" s="4" t="str">
        <f t="shared" si="68"/>
        <v/>
      </c>
      <c r="JY68" s="4" t="str">
        <f t="shared" si="69"/>
        <v/>
      </c>
      <c r="JZ68" s="4" t="str">
        <f t="shared" si="70"/>
        <v/>
      </c>
      <c r="KA68" s="4" t="str">
        <f t="shared" si="71"/>
        <v/>
      </c>
      <c r="KB68" s="4" t="str">
        <f t="shared" si="72"/>
        <v/>
      </c>
      <c r="KC68" s="4" t="str">
        <f t="shared" si="73"/>
        <v/>
      </c>
      <c r="KD68" s="4" t="str">
        <f t="shared" si="74"/>
        <v/>
      </c>
      <c r="KE68" s="4" t="str">
        <f t="shared" si="75"/>
        <v/>
      </c>
      <c r="KF68" s="4" t="str">
        <f t="shared" si="76"/>
        <v/>
      </c>
      <c r="KG68" s="4" t="str">
        <f t="shared" si="77"/>
        <v/>
      </c>
      <c r="KH68" s="4" t="str">
        <f t="shared" si="78"/>
        <v/>
      </c>
      <c r="KI68" s="4" t="str">
        <f t="shared" si="79"/>
        <v/>
      </c>
      <c r="KJ68" s="4" t="str">
        <f t="shared" si="80"/>
        <v/>
      </c>
      <c r="KK68" s="4" t="str">
        <f t="shared" si="81"/>
        <v/>
      </c>
      <c r="KL68" s="4" t="str">
        <f t="shared" si="82"/>
        <v/>
      </c>
      <c r="KM68" s="4" t="str">
        <f t="shared" si="83"/>
        <v/>
      </c>
      <c r="KN68" s="4" t="str">
        <f t="shared" si="84"/>
        <v/>
      </c>
      <c r="KO68" s="4" t="str">
        <f t="shared" si="85"/>
        <v/>
      </c>
      <c r="KP68" s="4" t="str">
        <f t="shared" si="86"/>
        <v/>
      </c>
      <c r="KQ68" s="4" t="str">
        <f t="shared" si="87"/>
        <v/>
      </c>
      <c r="KR68" s="4" t="str">
        <f t="shared" si="88"/>
        <v/>
      </c>
      <c r="KS68" s="4" t="str">
        <f t="shared" si="89"/>
        <v/>
      </c>
      <c r="KT68" s="4" t="str">
        <f t="shared" si="90"/>
        <v/>
      </c>
      <c r="KU68" s="4" t="str">
        <f t="shared" si="91"/>
        <v/>
      </c>
      <c r="KV68" s="4" t="str">
        <f t="shared" si="92"/>
        <v/>
      </c>
      <c r="KW68" s="4" t="str">
        <f t="shared" si="93"/>
        <v/>
      </c>
      <c r="KX68" s="4" t="str">
        <f t="shared" si="94"/>
        <v/>
      </c>
      <c r="KY68" s="4" t="str">
        <f t="shared" si="95"/>
        <v/>
      </c>
      <c r="KZ68" s="4" t="str">
        <f t="shared" si="96"/>
        <v/>
      </c>
      <c r="LA68" s="4" t="str">
        <f t="shared" si="97"/>
        <v/>
      </c>
      <c r="LB68" s="4" t="str">
        <f t="shared" si="98"/>
        <v/>
      </c>
      <c r="LC68" s="4" t="str">
        <f t="shared" si="99"/>
        <v/>
      </c>
      <c r="LD68" s="4" t="str">
        <f t="shared" si="100"/>
        <v/>
      </c>
      <c r="LE68" s="4" t="str">
        <f t="shared" si="101"/>
        <v/>
      </c>
      <c r="LF68" s="4" t="str">
        <f t="shared" si="102"/>
        <v/>
      </c>
      <c r="LG68" s="4" t="str">
        <f t="shared" si="103"/>
        <v/>
      </c>
      <c r="LH68" s="4" t="str">
        <f t="shared" si="104"/>
        <v/>
      </c>
      <c r="LI68" s="4" t="str">
        <f t="shared" si="105"/>
        <v/>
      </c>
      <c r="LJ68" s="4" t="str">
        <f t="shared" si="106"/>
        <v/>
      </c>
      <c r="LK68" s="4" t="str">
        <f t="shared" si="107"/>
        <v/>
      </c>
      <c r="LL68" s="4" t="str">
        <f t="shared" si="108"/>
        <v/>
      </c>
      <c r="LM68" s="4" t="str">
        <f t="shared" si="109"/>
        <v/>
      </c>
      <c r="LN68" s="4" t="str">
        <f t="shared" si="110"/>
        <v/>
      </c>
      <c r="LO68" s="4" t="str">
        <f t="shared" si="111"/>
        <v/>
      </c>
      <c r="LP68" s="4" t="str">
        <f t="shared" si="112"/>
        <v/>
      </c>
      <c r="LQ68" s="4" t="str">
        <f t="shared" si="113"/>
        <v/>
      </c>
      <c r="LR68" s="4" t="str">
        <f t="shared" si="114"/>
        <v/>
      </c>
      <c r="LS68" s="4" t="str">
        <f t="shared" si="115"/>
        <v/>
      </c>
      <c r="LT68" s="4" t="str">
        <f t="shared" si="116"/>
        <v/>
      </c>
      <c r="LU68" s="4" t="str">
        <f t="shared" si="117"/>
        <v/>
      </c>
      <c r="LV68" s="4" t="str">
        <f t="shared" si="118"/>
        <v/>
      </c>
      <c r="LW68" s="4" t="str">
        <f t="shared" si="119"/>
        <v/>
      </c>
      <c r="LX68" s="4" t="str">
        <f t="shared" si="120"/>
        <v/>
      </c>
      <c r="LY68" s="4" t="str">
        <f t="shared" si="121"/>
        <v/>
      </c>
      <c r="LZ68" s="4" t="str">
        <f t="shared" si="122"/>
        <v/>
      </c>
      <c r="MA68" s="4" t="str">
        <f t="shared" si="123"/>
        <v/>
      </c>
      <c r="MB68" s="4" t="str">
        <f t="shared" si="124"/>
        <v/>
      </c>
      <c r="MC68" s="4" t="str">
        <f t="shared" si="125"/>
        <v/>
      </c>
      <c r="MD68" s="4" t="str">
        <f t="shared" si="126"/>
        <v/>
      </c>
      <c r="ME68" s="4" t="str">
        <f t="shared" si="127"/>
        <v/>
      </c>
      <c r="MF68" s="4" t="str">
        <f t="shared" si="128"/>
        <v/>
      </c>
      <c r="MG68" s="4" t="str">
        <f t="shared" si="129"/>
        <v/>
      </c>
      <c r="MH68" s="4" t="str">
        <f t="shared" si="130"/>
        <v/>
      </c>
      <c r="MI68" s="4" t="str">
        <f t="shared" si="131"/>
        <v/>
      </c>
      <c r="MJ68" s="4" t="str">
        <f t="shared" si="132"/>
        <v/>
      </c>
      <c r="MK68" s="4" t="str">
        <f t="shared" si="133"/>
        <v/>
      </c>
      <c r="ML68" s="4" t="str">
        <f t="shared" si="134"/>
        <v/>
      </c>
      <c r="MM68" s="4" t="str">
        <f t="shared" si="135"/>
        <v/>
      </c>
      <c r="MN68" s="4" t="str">
        <f t="shared" si="136"/>
        <v/>
      </c>
      <c r="MO68" s="4" t="str">
        <f t="shared" si="137"/>
        <v/>
      </c>
      <c r="MP68" s="4" t="str">
        <f t="shared" si="138"/>
        <v/>
      </c>
      <c r="MQ68" s="4" t="str">
        <f t="shared" si="139"/>
        <v/>
      </c>
      <c r="MR68" s="4" t="str">
        <f t="shared" si="140"/>
        <v/>
      </c>
      <c r="MS68" s="4" t="str">
        <f t="shared" si="141"/>
        <v/>
      </c>
      <c r="MT68" s="4" t="str">
        <f t="shared" si="142"/>
        <v/>
      </c>
      <c r="MU68" s="4" t="str">
        <f t="shared" si="143"/>
        <v/>
      </c>
      <c r="MV68" s="4" t="str">
        <f t="shared" si="144"/>
        <v/>
      </c>
      <c r="MW68" s="4" t="str">
        <f t="shared" si="145"/>
        <v/>
      </c>
      <c r="MX68" s="4" t="str">
        <f t="shared" si="146"/>
        <v/>
      </c>
      <c r="MY68" s="4" t="str">
        <f t="shared" si="147"/>
        <v/>
      </c>
      <c r="MZ68" s="4" t="str">
        <f t="shared" si="148"/>
        <v/>
      </c>
      <c r="NA68" s="4" t="str">
        <f t="shared" si="149"/>
        <v/>
      </c>
      <c r="NB68" s="4" t="str">
        <f t="shared" si="150"/>
        <v/>
      </c>
      <c r="NC68" s="4" t="str">
        <f t="shared" si="151"/>
        <v/>
      </c>
      <c r="ND68" s="4" t="str">
        <f t="shared" si="152"/>
        <v/>
      </c>
      <c r="NE68" s="4" t="str">
        <f t="shared" si="153"/>
        <v/>
      </c>
      <c r="NF68" s="4" t="str">
        <f t="shared" si="154"/>
        <v/>
      </c>
      <c r="NG68" s="4" t="str">
        <f t="shared" si="155"/>
        <v/>
      </c>
      <c r="NH68" s="4" t="str">
        <f t="shared" si="156"/>
        <v/>
      </c>
      <c r="NI68" s="4" t="str">
        <f t="shared" si="157"/>
        <v/>
      </c>
      <c r="NJ68" s="4" t="str">
        <f t="shared" si="158"/>
        <v/>
      </c>
      <c r="NK68" s="4" t="str">
        <f t="shared" si="159"/>
        <v/>
      </c>
      <c r="NL68" s="4" t="str">
        <f t="shared" si="160"/>
        <v/>
      </c>
      <c r="NM68" s="4" t="str">
        <f t="shared" si="161"/>
        <v/>
      </c>
      <c r="NN68" s="4" t="str">
        <f t="shared" si="162"/>
        <v/>
      </c>
      <c r="NO68" s="4" t="str">
        <f t="shared" si="163"/>
        <v/>
      </c>
      <c r="NP68" s="4" t="str">
        <f t="shared" si="164"/>
        <v/>
      </c>
      <c r="NQ68" s="4" t="str">
        <f t="shared" si="165"/>
        <v/>
      </c>
      <c r="NR68" s="4" t="str">
        <f t="shared" si="166"/>
        <v/>
      </c>
      <c r="NS68" s="4" t="str">
        <f t="shared" si="167"/>
        <v/>
      </c>
      <c r="NT68" s="4" t="str">
        <f t="shared" si="168"/>
        <v/>
      </c>
      <c r="NU68" s="4" t="str">
        <f t="shared" si="169"/>
        <v/>
      </c>
      <c r="NV68" s="4" t="str">
        <f t="shared" si="170"/>
        <v/>
      </c>
      <c r="NW68" s="4" t="str">
        <f t="shared" si="171"/>
        <v/>
      </c>
      <c r="NX68" s="4" t="str">
        <f t="shared" si="172"/>
        <v/>
      </c>
      <c r="NY68" s="4" t="str">
        <f t="shared" si="173"/>
        <v/>
      </c>
      <c r="NZ68" s="4" t="str">
        <f t="shared" si="174"/>
        <v/>
      </c>
      <c r="OA68" s="4" t="str">
        <f t="shared" si="175"/>
        <v/>
      </c>
      <c r="OB68" s="4" t="str">
        <f t="shared" si="176"/>
        <v/>
      </c>
      <c r="OC68" s="4" t="str">
        <f t="shared" si="177"/>
        <v/>
      </c>
      <c r="OD68" s="4" t="str">
        <f t="shared" si="178"/>
        <v/>
      </c>
      <c r="OE68" s="4" t="str">
        <f t="shared" si="179"/>
        <v/>
      </c>
      <c r="OF68" s="4" t="str">
        <f t="shared" si="180"/>
        <v/>
      </c>
      <c r="OG68" s="4" t="str">
        <f t="shared" si="181"/>
        <v/>
      </c>
      <c r="OH68" s="4" t="str">
        <f t="shared" si="182"/>
        <v/>
      </c>
      <c r="OI68" s="4" t="str">
        <f t="shared" si="183"/>
        <v/>
      </c>
      <c r="OJ68" s="4" t="str">
        <f t="shared" si="184"/>
        <v/>
      </c>
      <c r="OK68" s="4" t="str">
        <f t="shared" si="185"/>
        <v/>
      </c>
      <c r="OL68" s="4" t="str">
        <f t="shared" si="186"/>
        <v/>
      </c>
      <c r="OM68" s="4" t="str">
        <f t="shared" si="187"/>
        <v/>
      </c>
      <c r="ON68" s="4" t="str">
        <f t="shared" si="188"/>
        <v/>
      </c>
      <c r="OO68" s="4" t="str">
        <f t="shared" si="189"/>
        <v/>
      </c>
      <c r="OP68" s="4" t="str">
        <f t="shared" si="190"/>
        <v/>
      </c>
      <c r="OQ68" s="4" t="str">
        <f t="shared" si="191"/>
        <v/>
      </c>
      <c r="OR68" s="4" t="str">
        <f t="shared" si="192"/>
        <v/>
      </c>
      <c r="OS68" s="4" t="str">
        <f t="shared" si="193"/>
        <v/>
      </c>
      <c r="OT68" s="4" t="str">
        <f t="shared" si="194"/>
        <v/>
      </c>
      <c r="OU68" s="4" t="str">
        <f t="shared" si="195"/>
        <v/>
      </c>
      <c r="OV68" s="4" t="str">
        <f t="shared" si="196"/>
        <v/>
      </c>
      <c r="OW68" s="4" t="str">
        <f t="shared" si="197"/>
        <v/>
      </c>
      <c r="OX68" s="4" t="str">
        <f t="shared" si="198"/>
        <v/>
      </c>
      <c r="OY68" s="4" t="str">
        <f t="shared" si="199"/>
        <v/>
      </c>
      <c r="OZ68" s="4" t="str">
        <f t="shared" si="200"/>
        <v/>
      </c>
      <c r="PA68" s="4" t="str">
        <f t="shared" si="201"/>
        <v/>
      </c>
      <c r="PB68" s="4" t="str">
        <f t="shared" si="202"/>
        <v/>
      </c>
      <c r="PC68" s="4" t="str">
        <f t="shared" si="203"/>
        <v/>
      </c>
      <c r="PD68" s="4" t="str">
        <f t="shared" si="204"/>
        <v/>
      </c>
      <c r="PE68" s="4" t="str">
        <f t="shared" si="205"/>
        <v/>
      </c>
      <c r="PF68" s="4" t="str">
        <f t="shared" si="206"/>
        <v/>
      </c>
      <c r="PG68" s="4" t="str">
        <f t="shared" si="207"/>
        <v/>
      </c>
      <c r="PH68" s="4" t="str">
        <f t="shared" si="208"/>
        <v/>
      </c>
      <c r="PI68" s="4" t="str">
        <f t="shared" si="209"/>
        <v/>
      </c>
      <c r="PJ68" s="4" t="str">
        <f t="shared" si="210"/>
        <v/>
      </c>
      <c r="PK68" s="4" t="str">
        <f t="shared" si="211"/>
        <v/>
      </c>
      <c r="PL68" s="4" t="str">
        <f t="shared" si="212"/>
        <v/>
      </c>
      <c r="PM68" s="4" t="str">
        <f t="shared" si="213"/>
        <v/>
      </c>
      <c r="PN68" s="4" t="str">
        <f t="shared" si="214"/>
        <v/>
      </c>
      <c r="PO68" s="4" t="str">
        <f t="shared" si="215"/>
        <v/>
      </c>
      <c r="PP68" s="4" t="str">
        <f t="shared" si="216"/>
        <v/>
      </c>
      <c r="PQ68" s="4" t="str">
        <f t="shared" si="217"/>
        <v/>
      </c>
      <c r="PR68" s="4" t="str">
        <f t="shared" si="218"/>
        <v/>
      </c>
      <c r="PS68" s="4" t="str">
        <f t="shared" si="219"/>
        <v/>
      </c>
    </row>
    <row r="69">
      <c r="HI69" s="4" t="str">
        <f t="shared" si="2"/>
        <v/>
      </c>
      <c r="HJ69" s="4" t="str">
        <f t="shared" si="3"/>
        <v/>
      </c>
      <c r="HK69" s="4" t="str">
        <f t="shared" si="4"/>
        <v/>
      </c>
      <c r="HL69" s="4" t="str">
        <f t="shared" si="5"/>
        <v/>
      </c>
      <c r="HM69" s="4" t="str">
        <f t="shared" si="6"/>
        <v/>
      </c>
      <c r="HN69" s="4" t="str">
        <f t="shared" si="7"/>
        <v/>
      </c>
      <c r="HO69" s="4" t="str">
        <f t="shared" si="8"/>
        <v/>
      </c>
      <c r="HP69" s="4" t="str">
        <f t="shared" si="9"/>
        <v/>
      </c>
      <c r="HQ69" s="4" t="str">
        <f t="shared" si="10"/>
        <v/>
      </c>
      <c r="HR69" s="4" t="str">
        <f t="shared" si="11"/>
        <v/>
      </c>
      <c r="HS69" s="4" t="str">
        <f t="shared" si="12"/>
        <v/>
      </c>
      <c r="HT69" s="4" t="str">
        <f t="shared" si="13"/>
        <v/>
      </c>
      <c r="HU69" s="4" t="str">
        <f t="shared" si="14"/>
        <v/>
      </c>
      <c r="HV69" s="4" t="str">
        <f t="shared" si="15"/>
        <v/>
      </c>
      <c r="HW69" s="4" t="str">
        <f t="shared" si="16"/>
        <v/>
      </c>
      <c r="HX69" s="4" t="str">
        <f t="shared" si="17"/>
        <v/>
      </c>
      <c r="HY69" s="4" t="str">
        <f t="shared" si="18"/>
        <v/>
      </c>
      <c r="HZ69" s="4" t="str">
        <f t="shared" si="19"/>
        <v/>
      </c>
      <c r="IA69" s="4" t="str">
        <f t="shared" si="20"/>
        <v/>
      </c>
      <c r="IB69" s="4" t="str">
        <f t="shared" si="21"/>
        <v/>
      </c>
      <c r="IC69" s="4" t="str">
        <f t="shared" si="22"/>
        <v/>
      </c>
      <c r="ID69" s="4" t="str">
        <f t="shared" si="23"/>
        <v/>
      </c>
      <c r="IE69" s="4" t="str">
        <f t="shared" si="24"/>
        <v/>
      </c>
      <c r="IF69" s="4" t="str">
        <f t="shared" si="25"/>
        <v/>
      </c>
      <c r="IG69" s="4" t="str">
        <f t="shared" si="26"/>
        <v/>
      </c>
      <c r="IH69" s="4" t="str">
        <f t="shared" si="27"/>
        <v/>
      </c>
      <c r="II69" s="4" t="str">
        <f t="shared" si="28"/>
        <v/>
      </c>
      <c r="IJ69" s="4" t="str">
        <f t="shared" si="29"/>
        <v/>
      </c>
      <c r="IK69" s="4" t="str">
        <f t="shared" si="30"/>
        <v/>
      </c>
      <c r="IL69" s="4" t="str">
        <f t="shared" si="31"/>
        <v/>
      </c>
      <c r="IM69" s="4" t="str">
        <f t="shared" si="32"/>
        <v/>
      </c>
      <c r="IN69" s="4" t="str">
        <f t="shared" si="33"/>
        <v/>
      </c>
      <c r="IO69" s="4" t="str">
        <f t="shared" si="34"/>
        <v/>
      </c>
      <c r="IP69" s="4" t="str">
        <f t="shared" si="35"/>
        <v/>
      </c>
      <c r="IQ69" s="4" t="str">
        <f t="shared" si="36"/>
        <v/>
      </c>
      <c r="IR69" s="4" t="str">
        <f t="shared" si="37"/>
        <v/>
      </c>
      <c r="IS69" s="4" t="str">
        <f t="shared" si="38"/>
        <v/>
      </c>
      <c r="IT69" s="4" t="str">
        <f t="shared" si="39"/>
        <v/>
      </c>
      <c r="IU69" s="4" t="str">
        <f t="shared" si="40"/>
        <v/>
      </c>
      <c r="IV69" s="4" t="str">
        <f t="shared" si="41"/>
        <v/>
      </c>
      <c r="IW69" s="4" t="str">
        <f t="shared" si="42"/>
        <v/>
      </c>
      <c r="IX69" s="4" t="str">
        <f t="shared" si="43"/>
        <v/>
      </c>
      <c r="IY69" s="4" t="str">
        <f t="shared" si="44"/>
        <v/>
      </c>
      <c r="IZ69" s="4" t="str">
        <f t="shared" si="45"/>
        <v/>
      </c>
      <c r="JA69" s="4" t="str">
        <f t="shared" ref="JA69:JB69" si="285">if(ISERROR(SEARCH("Higher Education",BB69)),"","810")</f>
        <v/>
      </c>
      <c r="JB69" s="4" t="str">
        <f t="shared" si="285"/>
        <v/>
      </c>
      <c r="JC69" s="4" t="str">
        <f t="shared" si="47"/>
        <v/>
      </c>
      <c r="JD69" s="4" t="str">
        <f t="shared" si="48"/>
        <v/>
      </c>
      <c r="JE69" s="4" t="str">
        <f t="shared" si="49"/>
        <v/>
      </c>
      <c r="JF69" s="4" t="str">
        <f t="shared" si="50"/>
        <v/>
      </c>
      <c r="JG69" s="4" t="str">
        <f t="shared" si="51"/>
        <v/>
      </c>
      <c r="JH69" s="4" t="str">
        <f t="shared" si="52"/>
        <v/>
      </c>
      <c r="JI69" s="4" t="str">
        <f t="shared" si="53"/>
        <v/>
      </c>
      <c r="JJ69" s="4" t="str">
        <f t="shared" si="54"/>
        <v/>
      </c>
      <c r="JK69" s="4" t="str">
        <f t="shared" si="55"/>
        <v/>
      </c>
      <c r="JL69" s="4" t="str">
        <f t="shared" si="56"/>
        <v/>
      </c>
      <c r="JM69" s="4" t="str">
        <f t="shared" si="57"/>
        <v/>
      </c>
      <c r="JN69" s="4" t="str">
        <f t="shared" si="58"/>
        <v/>
      </c>
      <c r="JO69" s="4" t="str">
        <f t="shared" si="59"/>
        <v/>
      </c>
      <c r="JP69" s="4" t="str">
        <f t="shared" si="60"/>
        <v/>
      </c>
      <c r="JQ69" s="4" t="str">
        <f t="shared" si="61"/>
        <v/>
      </c>
      <c r="JR69" s="4" t="str">
        <f t="shared" si="62"/>
        <v/>
      </c>
      <c r="JS69" s="4" t="str">
        <f t="shared" si="63"/>
        <v/>
      </c>
      <c r="JT69" s="4" t="str">
        <f t="shared" si="64"/>
        <v/>
      </c>
      <c r="JU69" s="4" t="str">
        <f t="shared" si="65"/>
        <v/>
      </c>
      <c r="JV69" s="4" t="str">
        <f t="shared" si="66"/>
        <v/>
      </c>
      <c r="JW69" s="4" t="str">
        <f t="shared" si="67"/>
        <v/>
      </c>
      <c r="JX69" s="4" t="str">
        <f t="shared" si="68"/>
        <v/>
      </c>
      <c r="JY69" s="4" t="str">
        <f t="shared" si="69"/>
        <v/>
      </c>
      <c r="JZ69" s="4" t="str">
        <f t="shared" si="70"/>
        <v/>
      </c>
      <c r="KA69" s="4" t="str">
        <f t="shared" si="71"/>
        <v/>
      </c>
      <c r="KB69" s="4" t="str">
        <f t="shared" si="72"/>
        <v/>
      </c>
      <c r="KC69" s="4" t="str">
        <f t="shared" si="73"/>
        <v/>
      </c>
      <c r="KD69" s="4" t="str">
        <f t="shared" si="74"/>
        <v/>
      </c>
      <c r="KE69" s="4" t="str">
        <f t="shared" si="75"/>
        <v/>
      </c>
      <c r="KF69" s="4" t="str">
        <f t="shared" si="76"/>
        <v/>
      </c>
      <c r="KG69" s="4" t="str">
        <f t="shared" si="77"/>
        <v/>
      </c>
      <c r="KH69" s="4" t="str">
        <f t="shared" si="78"/>
        <v/>
      </c>
      <c r="KI69" s="4" t="str">
        <f t="shared" si="79"/>
        <v/>
      </c>
      <c r="KJ69" s="4" t="str">
        <f t="shared" si="80"/>
        <v/>
      </c>
      <c r="KK69" s="4" t="str">
        <f t="shared" si="81"/>
        <v/>
      </c>
      <c r="KL69" s="4" t="str">
        <f t="shared" si="82"/>
        <v/>
      </c>
      <c r="KM69" s="4" t="str">
        <f t="shared" si="83"/>
        <v/>
      </c>
      <c r="KN69" s="4" t="str">
        <f t="shared" si="84"/>
        <v/>
      </c>
      <c r="KO69" s="4" t="str">
        <f t="shared" si="85"/>
        <v/>
      </c>
      <c r="KP69" s="4" t="str">
        <f t="shared" si="86"/>
        <v/>
      </c>
      <c r="KQ69" s="4" t="str">
        <f t="shared" si="87"/>
        <v/>
      </c>
      <c r="KR69" s="4" t="str">
        <f t="shared" si="88"/>
        <v/>
      </c>
      <c r="KS69" s="4" t="str">
        <f t="shared" si="89"/>
        <v/>
      </c>
      <c r="KT69" s="4" t="str">
        <f t="shared" si="90"/>
        <v/>
      </c>
      <c r="KU69" s="4" t="str">
        <f t="shared" si="91"/>
        <v/>
      </c>
      <c r="KV69" s="4" t="str">
        <f t="shared" si="92"/>
        <v/>
      </c>
      <c r="KW69" s="4" t="str">
        <f t="shared" si="93"/>
        <v/>
      </c>
      <c r="KX69" s="4" t="str">
        <f t="shared" si="94"/>
        <v/>
      </c>
      <c r="KY69" s="4" t="str">
        <f t="shared" si="95"/>
        <v/>
      </c>
      <c r="KZ69" s="4" t="str">
        <f t="shared" si="96"/>
        <v/>
      </c>
      <c r="LA69" s="4" t="str">
        <f t="shared" si="97"/>
        <v/>
      </c>
      <c r="LB69" s="4" t="str">
        <f t="shared" si="98"/>
        <v/>
      </c>
      <c r="LC69" s="4" t="str">
        <f t="shared" si="99"/>
        <v/>
      </c>
      <c r="LD69" s="4" t="str">
        <f t="shared" si="100"/>
        <v/>
      </c>
      <c r="LE69" s="4" t="str">
        <f t="shared" si="101"/>
        <v/>
      </c>
      <c r="LF69" s="4" t="str">
        <f t="shared" si="102"/>
        <v/>
      </c>
      <c r="LG69" s="4" t="str">
        <f t="shared" si="103"/>
        <v/>
      </c>
      <c r="LH69" s="4" t="str">
        <f t="shared" si="104"/>
        <v/>
      </c>
      <c r="LI69" s="4" t="str">
        <f t="shared" si="105"/>
        <v/>
      </c>
      <c r="LJ69" s="4" t="str">
        <f t="shared" si="106"/>
        <v/>
      </c>
      <c r="LK69" s="4" t="str">
        <f t="shared" si="107"/>
        <v/>
      </c>
      <c r="LL69" s="4" t="str">
        <f t="shared" si="108"/>
        <v/>
      </c>
      <c r="LM69" s="4" t="str">
        <f t="shared" si="109"/>
        <v/>
      </c>
      <c r="LN69" s="4" t="str">
        <f t="shared" si="110"/>
        <v/>
      </c>
      <c r="LO69" s="4" t="str">
        <f t="shared" si="111"/>
        <v/>
      </c>
      <c r="LP69" s="4" t="str">
        <f t="shared" si="112"/>
        <v/>
      </c>
      <c r="LQ69" s="4" t="str">
        <f t="shared" si="113"/>
        <v/>
      </c>
      <c r="LR69" s="4" t="str">
        <f t="shared" si="114"/>
        <v/>
      </c>
      <c r="LS69" s="4" t="str">
        <f t="shared" si="115"/>
        <v/>
      </c>
      <c r="LT69" s="4" t="str">
        <f t="shared" si="116"/>
        <v/>
      </c>
      <c r="LU69" s="4" t="str">
        <f t="shared" si="117"/>
        <v/>
      </c>
      <c r="LV69" s="4" t="str">
        <f t="shared" si="118"/>
        <v/>
      </c>
      <c r="LW69" s="4" t="str">
        <f t="shared" si="119"/>
        <v/>
      </c>
      <c r="LX69" s="4" t="str">
        <f t="shared" si="120"/>
        <v/>
      </c>
      <c r="LY69" s="4" t="str">
        <f t="shared" si="121"/>
        <v/>
      </c>
      <c r="LZ69" s="4" t="str">
        <f t="shared" si="122"/>
        <v/>
      </c>
      <c r="MA69" s="4" t="str">
        <f t="shared" si="123"/>
        <v/>
      </c>
      <c r="MB69" s="4" t="str">
        <f t="shared" si="124"/>
        <v/>
      </c>
      <c r="MC69" s="4" t="str">
        <f t="shared" si="125"/>
        <v/>
      </c>
      <c r="MD69" s="4" t="str">
        <f t="shared" si="126"/>
        <v/>
      </c>
      <c r="ME69" s="4" t="str">
        <f t="shared" si="127"/>
        <v/>
      </c>
      <c r="MF69" s="4" t="str">
        <f t="shared" si="128"/>
        <v/>
      </c>
      <c r="MG69" s="4" t="str">
        <f t="shared" si="129"/>
        <v/>
      </c>
      <c r="MH69" s="4" t="str">
        <f t="shared" si="130"/>
        <v/>
      </c>
      <c r="MI69" s="4" t="str">
        <f t="shared" si="131"/>
        <v/>
      </c>
      <c r="MJ69" s="4" t="str">
        <f t="shared" si="132"/>
        <v/>
      </c>
      <c r="MK69" s="4" t="str">
        <f t="shared" si="133"/>
        <v/>
      </c>
      <c r="ML69" s="4" t="str">
        <f t="shared" si="134"/>
        <v/>
      </c>
      <c r="MM69" s="4" t="str">
        <f t="shared" si="135"/>
        <v/>
      </c>
      <c r="MN69" s="4" t="str">
        <f t="shared" si="136"/>
        <v/>
      </c>
      <c r="MO69" s="4" t="str">
        <f t="shared" si="137"/>
        <v/>
      </c>
      <c r="MP69" s="4" t="str">
        <f t="shared" si="138"/>
        <v/>
      </c>
      <c r="MQ69" s="4" t="str">
        <f t="shared" si="139"/>
        <v/>
      </c>
      <c r="MR69" s="4" t="str">
        <f t="shared" si="140"/>
        <v/>
      </c>
      <c r="MS69" s="4" t="str">
        <f t="shared" si="141"/>
        <v/>
      </c>
      <c r="MT69" s="4" t="str">
        <f t="shared" si="142"/>
        <v/>
      </c>
      <c r="MU69" s="4" t="str">
        <f t="shared" si="143"/>
        <v/>
      </c>
      <c r="MV69" s="4" t="str">
        <f t="shared" si="144"/>
        <v/>
      </c>
      <c r="MW69" s="4" t="str">
        <f t="shared" si="145"/>
        <v/>
      </c>
      <c r="MX69" s="4" t="str">
        <f t="shared" si="146"/>
        <v/>
      </c>
      <c r="MY69" s="4" t="str">
        <f t="shared" si="147"/>
        <v/>
      </c>
      <c r="MZ69" s="4" t="str">
        <f t="shared" si="148"/>
        <v/>
      </c>
      <c r="NA69" s="4" t="str">
        <f t="shared" si="149"/>
        <v/>
      </c>
      <c r="NB69" s="4" t="str">
        <f t="shared" si="150"/>
        <v/>
      </c>
      <c r="NC69" s="4" t="str">
        <f t="shared" si="151"/>
        <v/>
      </c>
      <c r="ND69" s="4" t="str">
        <f t="shared" si="152"/>
        <v/>
      </c>
      <c r="NE69" s="4" t="str">
        <f t="shared" si="153"/>
        <v/>
      </c>
      <c r="NF69" s="4" t="str">
        <f t="shared" si="154"/>
        <v/>
      </c>
      <c r="NG69" s="4" t="str">
        <f t="shared" si="155"/>
        <v/>
      </c>
      <c r="NH69" s="4" t="str">
        <f t="shared" si="156"/>
        <v/>
      </c>
      <c r="NI69" s="4" t="str">
        <f t="shared" si="157"/>
        <v/>
      </c>
      <c r="NJ69" s="4" t="str">
        <f t="shared" si="158"/>
        <v/>
      </c>
      <c r="NK69" s="4" t="str">
        <f t="shared" si="159"/>
        <v/>
      </c>
      <c r="NL69" s="4" t="str">
        <f t="shared" si="160"/>
        <v/>
      </c>
      <c r="NM69" s="4" t="str">
        <f t="shared" si="161"/>
        <v/>
      </c>
      <c r="NN69" s="4" t="str">
        <f t="shared" si="162"/>
        <v/>
      </c>
      <c r="NO69" s="4" t="str">
        <f t="shared" si="163"/>
        <v/>
      </c>
      <c r="NP69" s="4" t="str">
        <f t="shared" si="164"/>
        <v/>
      </c>
      <c r="NQ69" s="4" t="str">
        <f t="shared" si="165"/>
        <v/>
      </c>
      <c r="NR69" s="4" t="str">
        <f t="shared" si="166"/>
        <v/>
      </c>
      <c r="NS69" s="4" t="str">
        <f t="shared" si="167"/>
        <v/>
      </c>
      <c r="NT69" s="4" t="str">
        <f t="shared" si="168"/>
        <v/>
      </c>
      <c r="NU69" s="4" t="str">
        <f t="shared" si="169"/>
        <v/>
      </c>
      <c r="NV69" s="4" t="str">
        <f t="shared" si="170"/>
        <v/>
      </c>
      <c r="NW69" s="4" t="str">
        <f t="shared" si="171"/>
        <v/>
      </c>
      <c r="NX69" s="4" t="str">
        <f t="shared" si="172"/>
        <v/>
      </c>
      <c r="NY69" s="4" t="str">
        <f t="shared" si="173"/>
        <v/>
      </c>
      <c r="NZ69" s="4" t="str">
        <f t="shared" si="174"/>
        <v/>
      </c>
      <c r="OA69" s="4" t="str">
        <f t="shared" si="175"/>
        <v/>
      </c>
      <c r="OB69" s="4" t="str">
        <f t="shared" si="176"/>
        <v/>
      </c>
      <c r="OC69" s="4" t="str">
        <f t="shared" si="177"/>
        <v/>
      </c>
      <c r="OD69" s="4" t="str">
        <f t="shared" si="178"/>
        <v/>
      </c>
      <c r="OE69" s="4" t="str">
        <f t="shared" si="179"/>
        <v/>
      </c>
      <c r="OF69" s="4" t="str">
        <f t="shared" si="180"/>
        <v/>
      </c>
      <c r="OG69" s="4" t="str">
        <f t="shared" si="181"/>
        <v/>
      </c>
      <c r="OH69" s="4" t="str">
        <f t="shared" si="182"/>
        <v/>
      </c>
      <c r="OI69" s="4" t="str">
        <f t="shared" si="183"/>
        <v/>
      </c>
      <c r="OJ69" s="4" t="str">
        <f t="shared" si="184"/>
        <v/>
      </c>
      <c r="OK69" s="4" t="str">
        <f t="shared" si="185"/>
        <v/>
      </c>
      <c r="OL69" s="4" t="str">
        <f t="shared" si="186"/>
        <v/>
      </c>
      <c r="OM69" s="4" t="str">
        <f t="shared" si="187"/>
        <v/>
      </c>
      <c r="ON69" s="4" t="str">
        <f t="shared" si="188"/>
        <v/>
      </c>
      <c r="OO69" s="4" t="str">
        <f t="shared" si="189"/>
        <v/>
      </c>
      <c r="OP69" s="4" t="str">
        <f t="shared" si="190"/>
        <v/>
      </c>
      <c r="OQ69" s="4" t="str">
        <f t="shared" si="191"/>
        <v/>
      </c>
      <c r="OR69" s="4" t="str">
        <f t="shared" si="192"/>
        <v/>
      </c>
      <c r="OS69" s="4" t="str">
        <f t="shared" si="193"/>
        <v/>
      </c>
      <c r="OT69" s="4" t="str">
        <f t="shared" si="194"/>
        <v/>
      </c>
      <c r="OU69" s="4" t="str">
        <f t="shared" si="195"/>
        <v/>
      </c>
      <c r="OV69" s="4" t="str">
        <f t="shared" si="196"/>
        <v/>
      </c>
      <c r="OW69" s="4" t="str">
        <f t="shared" si="197"/>
        <v/>
      </c>
      <c r="OX69" s="4" t="str">
        <f t="shared" si="198"/>
        <v/>
      </c>
      <c r="OY69" s="4" t="str">
        <f t="shared" si="199"/>
        <v/>
      </c>
      <c r="OZ69" s="4" t="str">
        <f t="shared" si="200"/>
        <v/>
      </c>
      <c r="PA69" s="4" t="str">
        <f t="shared" si="201"/>
        <v/>
      </c>
      <c r="PB69" s="4" t="str">
        <f t="shared" si="202"/>
        <v/>
      </c>
      <c r="PC69" s="4" t="str">
        <f t="shared" si="203"/>
        <v/>
      </c>
      <c r="PD69" s="4" t="str">
        <f t="shared" si="204"/>
        <v/>
      </c>
      <c r="PE69" s="4" t="str">
        <f t="shared" si="205"/>
        <v/>
      </c>
      <c r="PF69" s="4" t="str">
        <f t="shared" si="206"/>
        <v/>
      </c>
      <c r="PG69" s="4" t="str">
        <f t="shared" si="207"/>
        <v/>
      </c>
      <c r="PH69" s="4" t="str">
        <f t="shared" si="208"/>
        <v/>
      </c>
      <c r="PI69" s="4" t="str">
        <f t="shared" si="209"/>
        <v/>
      </c>
      <c r="PJ69" s="4" t="str">
        <f t="shared" si="210"/>
        <v/>
      </c>
      <c r="PK69" s="4" t="str">
        <f t="shared" si="211"/>
        <v/>
      </c>
      <c r="PL69" s="4" t="str">
        <f t="shared" si="212"/>
        <v/>
      </c>
      <c r="PM69" s="4" t="str">
        <f t="shared" si="213"/>
        <v/>
      </c>
      <c r="PN69" s="4" t="str">
        <f t="shared" si="214"/>
        <v/>
      </c>
      <c r="PO69" s="4" t="str">
        <f t="shared" si="215"/>
        <v/>
      </c>
      <c r="PP69" s="4" t="str">
        <f t="shared" si="216"/>
        <v/>
      </c>
      <c r="PQ69" s="4" t="str">
        <f t="shared" si="217"/>
        <v/>
      </c>
      <c r="PR69" s="4" t="str">
        <f t="shared" si="218"/>
        <v/>
      </c>
      <c r="PS69" s="4" t="str">
        <f t="shared" si="219"/>
        <v/>
      </c>
    </row>
    <row r="70">
      <c r="HI70" s="4" t="str">
        <f t="shared" si="2"/>
        <v/>
      </c>
      <c r="HJ70" s="4" t="str">
        <f t="shared" si="3"/>
        <v/>
      </c>
      <c r="HK70" s="4" t="str">
        <f t="shared" si="4"/>
        <v/>
      </c>
      <c r="HL70" s="4" t="str">
        <f t="shared" si="5"/>
        <v/>
      </c>
      <c r="HM70" s="4" t="str">
        <f t="shared" si="6"/>
        <v/>
      </c>
      <c r="HN70" s="4" t="str">
        <f t="shared" si="7"/>
        <v/>
      </c>
      <c r="HO70" s="4" t="str">
        <f t="shared" si="8"/>
        <v/>
      </c>
      <c r="HP70" s="4" t="str">
        <f t="shared" si="9"/>
        <v/>
      </c>
      <c r="HQ70" s="4" t="str">
        <f t="shared" si="10"/>
        <v/>
      </c>
      <c r="HR70" s="4" t="str">
        <f t="shared" si="11"/>
        <v/>
      </c>
      <c r="HS70" s="4" t="str">
        <f t="shared" si="12"/>
        <v/>
      </c>
      <c r="HT70" s="4" t="str">
        <f t="shared" si="13"/>
        <v/>
      </c>
      <c r="HU70" s="4" t="str">
        <f t="shared" si="14"/>
        <v/>
      </c>
      <c r="HV70" s="4" t="str">
        <f t="shared" si="15"/>
        <v/>
      </c>
      <c r="HW70" s="4" t="str">
        <f t="shared" si="16"/>
        <v/>
      </c>
      <c r="HX70" s="4" t="str">
        <f t="shared" si="17"/>
        <v/>
      </c>
      <c r="HY70" s="4" t="str">
        <f t="shared" si="18"/>
        <v/>
      </c>
      <c r="HZ70" s="4" t="str">
        <f t="shared" si="19"/>
        <v/>
      </c>
      <c r="IA70" s="4" t="str">
        <f t="shared" si="20"/>
        <v/>
      </c>
      <c r="IB70" s="4" t="str">
        <f t="shared" si="21"/>
        <v/>
      </c>
      <c r="IC70" s="4" t="str">
        <f t="shared" si="22"/>
        <v/>
      </c>
      <c r="ID70" s="4" t="str">
        <f t="shared" si="23"/>
        <v/>
      </c>
      <c r="IE70" s="4" t="str">
        <f t="shared" si="24"/>
        <v/>
      </c>
      <c r="IF70" s="4" t="str">
        <f t="shared" si="25"/>
        <v/>
      </c>
      <c r="IG70" s="4" t="str">
        <f t="shared" si="26"/>
        <v/>
      </c>
      <c r="IH70" s="4" t="str">
        <f t="shared" si="27"/>
        <v/>
      </c>
      <c r="II70" s="4" t="str">
        <f t="shared" si="28"/>
        <v/>
      </c>
      <c r="IJ70" s="4" t="str">
        <f t="shared" si="29"/>
        <v/>
      </c>
      <c r="IK70" s="4" t="str">
        <f t="shared" si="30"/>
        <v/>
      </c>
      <c r="IL70" s="4" t="str">
        <f t="shared" si="31"/>
        <v/>
      </c>
      <c r="IM70" s="4" t="str">
        <f t="shared" si="32"/>
        <v/>
      </c>
      <c r="IN70" s="4" t="str">
        <f t="shared" si="33"/>
        <v/>
      </c>
      <c r="IO70" s="4" t="str">
        <f t="shared" si="34"/>
        <v/>
      </c>
      <c r="IP70" s="4" t="str">
        <f t="shared" si="35"/>
        <v/>
      </c>
      <c r="IQ70" s="4" t="str">
        <f t="shared" si="36"/>
        <v/>
      </c>
      <c r="IR70" s="4" t="str">
        <f t="shared" si="37"/>
        <v/>
      </c>
      <c r="IS70" s="4" t="str">
        <f t="shared" si="38"/>
        <v/>
      </c>
      <c r="IT70" s="4" t="str">
        <f t="shared" si="39"/>
        <v/>
      </c>
      <c r="IU70" s="4" t="str">
        <f t="shared" si="40"/>
        <v/>
      </c>
      <c r="IV70" s="4" t="str">
        <f t="shared" si="41"/>
        <v/>
      </c>
      <c r="IW70" s="4" t="str">
        <f t="shared" si="42"/>
        <v/>
      </c>
      <c r="IX70" s="4" t="str">
        <f t="shared" si="43"/>
        <v/>
      </c>
      <c r="IY70" s="4" t="str">
        <f t="shared" si="44"/>
        <v/>
      </c>
      <c r="IZ70" s="4" t="str">
        <f t="shared" si="45"/>
        <v/>
      </c>
      <c r="JA70" s="4" t="str">
        <f t="shared" ref="JA70:JB70" si="286">if(ISERROR(SEARCH("Higher Education",BB70)),"","810")</f>
        <v/>
      </c>
      <c r="JB70" s="4" t="str">
        <f t="shared" si="286"/>
        <v/>
      </c>
      <c r="JC70" s="4" t="str">
        <f t="shared" si="47"/>
        <v/>
      </c>
      <c r="JD70" s="4" t="str">
        <f t="shared" si="48"/>
        <v/>
      </c>
      <c r="JE70" s="4" t="str">
        <f t="shared" si="49"/>
        <v/>
      </c>
      <c r="JF70" s="4" t="str">
        <f t="shared" si="50"/>
        <v/>
      </c>
      <c r="JG70" s="4" t="str">
        <f t="shared" si="51"/>
        <v/>
      </c>
      <c r="JH70" s="4" t="str">
        <f t="shared" si="52"/>
        <v/>
      </c>
      <c r="JI70" s="4" t="str">
        <f t="shared" si="53"/>
        <v/>
      </c>
      <c r="JJ70" s="4" t="str">
        <f t="shared" si="54"/>
        <v/>
      </c>
      <c r="JK70" s="4" t="str">
        <f t="shared" si="55"/>
        <v/>
      </c>
      <c r="JL70" s="4" t="str">
        <f t="shared" si="56"/>
        <v/>
      </c>
      <c r="JM70" s="4" t="str">
        <f t="shared" si="57"/>
        <v/>
      </c>
      <c r="JN70" s="4" t="str">
        <f t="shared" si="58"/>
        <v/>
      </c>
      <c r="JO70" s="4" t="str">
        <f t="shared" si="59"/>
        <v/>
      </c>
      <c r="JP70" s="4" t="str">
        <f t="shared" si="60"/>
        <v/>
      </c>
      <c r="JQ70" s="4" t="str">
        <f t="shared" si="61"/>
        <v/>
      </c>
      <c r="JR70" s="4" t="str">
        <f t="shared" si="62"/>
        <v/>
      </c>
      <c r="JS70" s="4" t="str">
        <f t="shared" si="63"/>
        <v/>
      </c>
      <c r="JT70" s="4" t="str">
        <f t="shared" si="64"/>
        <v/>
      </c>
      <c r="JU70" s="4" t="str">
        <f t="shared" si="65"/>
        <v/>
      </c>
      <c r="JV70" s="4" t="str">
        <f t="shared" si="66"/>
        <v/>
      </c>
      <c r="JW70" s="4" t="str">
        <f t="shared" si="67"/>
        <v/>
      </c>
      <c r="JX70" s="4" t="str">
        <f t="shared" si="68"/>
        <v/>
      </c>
      <c r="JY70" s="4" t="str">
        <f t="shared" si="69"/>
        <v/>
      </c>
      <c r="JZ70" s="4" t="str">
        <f t="shared" si="70"/>
        <v/>
      </c>
      <c r="KA70" s="4" t="str">
        <f t="shared" si="71"/>
        <v/>
      </c>
      <c r="KB70" s="4" t="str">
        <f t="shared" si="72"/>
        <v/>
      </c>
      <c r="KC70" s="4" t="str">
        <f t="shared" si="73"/>
        <v/>
      </c>
      <c r="KD70" s="4" t="str">
        <f t="shared" si="74"/>
        <v/>
      </c>
      <c r="KE70" s="4" t="str">
        <f t="shared" si="75"/>
        <v/>
      </c>
      <c r="KF70" s="4" t="str">
        <f t="shared" si="76"/>
        <v/>
      </c>
      <c r="KG70" s="4" t="str">
        <f t="shared" si="77"/>
        <v/>
      </c>
      <c r="KH70" s="4" t="str">
        <f t="shared" si="78"/>
        <v/>
      </c>
      <c r="KI70" s="4" t="str">
        <f t="shared" si="79"/>
        <v/>
      </c>
      <c r="KJ70" s="4" t="str">
        <f t="shared" si="80"/>
        <v/>
      </c>
      <c r="KK70" s="4" t="str">
        <f t="shared" si="81"/>
        <v/>
      </c>
      <c r="KL70" s="4" t="str">
        <f t="shared" si="82"/>
        <v/>
      </c>
      <c r="KM70" s="4" t="str">
        <f t="shared" si="83"/>
        <v/>
      </c>
      <c r="KN70" s="4" t="str">
        <f t="shared" si="84"/>
        <v/>
      </c>
      <c r="KO70" s="4" t="str">
        <f t="shared" si="85"/>
        <v/>
      </c>
      <c r="KP70" s="4" t="str">
        <f t="shared" si="86"/>
        <v/>
      </c>
      <c r="KQ70" s="4" t="str">
        <f t="shared" si="87"/>
        <v/>
      </c>
      <c r="KR70" s="4" t="str">
        <f t="shared" si="88"/>
        <v/>
      </c>
      <c r="KS70" s="4" t="str">
        <f t="shared" si="89"/>
        <v/>
      </c>
      <c r="KT70" s="4" t="str">
        <f t="shared" si="90"/>
        <v/>
      </c>
      <c r="KU70" s="4" t="str">
        <f t="shared" si="91"/>
        <v/>
      </c>
      <c r="KV70" s="4" t="str">
        <f t="shared" si="92"/>
        <v/>
      </c>
      <c r="KW70" s="4" t="str">
        <f t="shared" si="93"/>
        <v/>
      </c>
      <c r="KX70" s="4" t="str">
        <f t="shared" si="94"/>
        <v/>
      </c>
      <c r="KY70" s="4" t="str">
        <f t="shared" si="95"/>
        <v/>
      </c>
      <c r="KZ70" s="4" t="str">
        <f t="shared" si="96"/>
        <v/>
      </c>
      <c r="LA70" s="4" t="str">
        <f t="shared" si="97"/>
        <v/>
      </c>
      <c r="LB70" s="4" t="str">
        <f t="shared" si="98"/>
        <v/>
      </c>
      <c r="LC70" s="4" t="str">
        <f t="shared" si="99"/>
        <v/>
      </c>
      <c r="LD70" s="4" t="str">
        <f t="shared" si="100"/>
        <v/>
      </c>
      <c r="LE70" s="4" t="str">
        <f t="shared" si="101"/>
        <v/>
      </c>
      <c r="LF70" s="4" t="str">
        <f t="shared" si="102"/>
        <v/>
      </c>
      <c r="LG70" s="4" t="str">
        <f t="shared" si="103"/>
        <v/>
      </c>
      <c r="LH70" s="4" t="str">
        <f t="shared" si="104"/>
        <v/>
      </c>
      <c r="LI70" s="4" t="str">
        <f t="shared" si="105"/>
        <v/>
      </c>
      <c r="LJ70" s="4" t="str">
        <f t="shared" si="106"/>
        <v/>
      </c>
      <c r="LK70" s="4" t="str">
        <f t="shared" si="107"/>
        <v/>
      </c>
      <c r="LL70" s="4" t="str">
        <f t="shared" si="108"/>
        <v/>
      </c>
      <c r="LM70" s="4" t="str">
        <f t="shared" si="109"/>
        <v/>
      </c>
      <c r="LN70" s="4" t="str">
        <f t="shared" si="110"/>
        <v/>
      </c>
      <c r="LO70" s="4" t="str">
        <f t="shared" si="111"/>
        <v/>
      </c>
      <c r="LP70" s="4" t="str">
        <f t="shared" si="112"/>
        <v/>
      </c>
      <c r="LQ70" s="4" t="str">
        <f t="shared" si="113"/>
        <v/>
      </c>
      <c r="LR70" s="4" t="str">
        <f t="shared" si="114"/>
        <v/>
      </c>
      <c r="LS70" s="4" t="str">
        <f t="shared" si="115"/>
        <v/>
      </c>
      <c r="LT70" s="4" t="str">
        <f t="shared" si="116"/>
        <v/>
      </c>
      <c r="LU70" s="4" t="str">
        <f t="shared" si="117"/>
        <v/>
      </c>
      <c r="LV70" s="4" t="str">
        <f t="shared" si="118"/>
        <v/>
      </c>
      <c r="LW70" s="4" t="str">
        <f t="shared" si="119"/>
        <v/>
      </c>
      <c r="LX70" s="4" t="str">
        <f t="shared" si="120"/>
        <v/>
      </c>
      <c r="LY70" s="4" t="str">
        <f t="shared" si="121"/>
        <v/>
      </c>
      <c r="LZ70" s="4" t="str">
        <f t="shared" si="122"/>
        <v/>
      </c>
      <c r="MA70" s="4" t="str">
        <f t="shared" si="123"/>
        <v/>
      </c>
      <c r="MB70" s="4" t="str">
        <f t="shared" si="124"/>
        <v/>
      </c>
      <c r="MC70" s="4" t="str">
        <f t="shared" si="125"/>
        <v/>
      </c>
      <c r="MD70" s="4" t="str">
        <f t="shared" si="126"/>
        <v/>
      </c>
      <c r="ME70" s="4" t="str">
        <f t="shared" si="127"/>
        <v/>
      </c>
      <c r="MF70" s="4" t="str">
        <f t="shared" si="128"/>
        <v/>
      </c>
      <c r="MG70" s="4" t="str">
        <f t="shared" si="129"/>
        <v/>
      </c>
      <c r="MH70" s="4" t="str">
        <f t="shared" si="130"/>
        <v/>
      </c>
      <c r="MI70" s="4" t="str">
        <f t="shared" si="131"/>
        <v/>
      </c>
      <c r="MJ70" s="4" t="str">
        <f t="shared" si="132"/>
        <v/>
      </c>
      <c r="MK70" s="4" t="str">
        <f t="shared" si="133"/>
        <v/>
      </c>
      <c r="ML70" s="4" t="str">
        <f t="shared" si="134"/>
        <v/>
      </c>
      <c r="MM70" s="4" t="str">
        <f t="shared" si="135"/>
        <v/>
      </c>
      <c r="MN70" s="4" t="str">
        <f t="shared" si="136"/>
        <v/>
      </c>
      <c r="MO70" s="4" t="str">
        <f t="shared" si="137"/>
        <v/>
      </c>
      <c r="MP70" s="4" t="str">
        <f t="shared" si="138"/>
        <v/>
      </c>
      <c r="MQ70" s="4" t="str">
        <f t="shared" si="139"/>
        <v/>
      </c>
      <c r="MR70" s="4" t="str">
        <f t="shared" si="140"/>
        <v/>
      </c>
      <c r="MS70" s="4" t="str">
        <f t="shared" si="141"/>
        <v/>
      </c>
      <c r="MT70" s="4" t="str">
        <f t="shared" si="142"/>
        <v/>
      </c>
      <c r="MU70" s="4" t="str">
        <f t="shared" si="143"/>
        <v/>
      </c>
      <c r="MV70" s="4" t="str">
        <f t="shared" si="144"/>
        <v/>
      </c>
      <c r="MW70" s="4" t="str">
        <f t="shared" si="145"/>
        <v/>
      </c>
      <c r="MX70" s="4" t="str">
        <f t="shared" si="146"/>
        <v/>
      </c>
      <c r="MY70" s="4" t="str">
        <f t="shared" si="147"/>
        <v/>
      </c>
      <c r="MZ70" s="4" t="str">
        <f t="shared" si="148"/>
        <v/>
      </c>
      <c r="NA70" s="4" t="str">
        <f t="shared" si="149"/>
        <v/>
      </c>
      <c r="NB70" s="4" t="str">
        <f t="shared" si="150"/>
        <v/>
      </c>
      <c r="NC70" s="4" t="str">
        <f t="shared" si="151"/>
        <v/>
      </c>
      <c r="ND70" s="4" t="str">
        <f t="shared" si="152"/>
        <v/>
      </c>
      <c r="NE70" s="4" t="str">
        <f t="shared" si="153"/>
        <v/>
      </c>
      <c r="NF70" s="4" t="str">
        <f t="shared" si="154"/>
        <v/>
      </c>
      <c r="NG70" s="4" t="str">
        <f t="shared" si="155"/>
        <v/>
      </c>
      <c r="NH70" s="4" t="str">
        <f t="shared" si="156"/>
        <v/>
      </c>
      <c r="NI70" s="4" t="str">
        <f t="shared" si="157"/>
        <v/>
      </c>
      <c r="NJ70" s="4" t="str">
        <f t="shared" si="158"/>
        <v/>
      </c>
      <c r="NK70" s="4" t="str">
        <f t="shared" si="159"/>
        <v/>
      </c>
      <c r="NL70" s="4" t="str">
        <f t="shared" si="160"/>
        <v/>
      </c>
      <c r="NM70" s="4" t="str">
        <f t="shared" si="161"/>
        <v/>
      </c>
      <c r="NN70" s="4" t="str">
        <f t="shared" si="162"/>
        <v/>
      </c>
      <c r="NO70" s="4" t="str">
        <f t="shared" si="163"/>
        <v/>
      </c>
      <c r="NP70" s="4" t="str">
        <f t="shared" si="164"/>
        <v/>
      </c>
      <c r="NQ70" s="4" t="str">
        <f t="shared" si="165"/>
        <v/>
      </c>
      <c r="NR70" s="4" t="str">
        <f t="shared" si="166"/>
        <v/>
      </c>
      <c r="NS70" s="4" t="str">
        <f t="shared" si="167"/>
        <v/>
      </c>
      <c r="NT70" s="4" t="str">
        <f t="shared" si="168"/>
        <v/>
      </c>
      <c r="NU70" s="4" t="str">
        <f t="shared" si="169"/>
        <v/>
      </c>
      <c r="NV70" s="4" t="str">
        <f t="shared" si="170"/>
        <v/>
      </c>
      <c r="NW70" s="4" t="str">
        <f t="shared" si="171"/>
        <v/>
      </c>
      <c r="NX70" s="4" t="str">
        <f t="shared" si="172"/>
        <v/>
      </c>
      <c r="NY70" s="4" t="str">
        <f t="shared" si="173"/>
        <v/>
      </c>
      <c r="NZ70" s="4" t="str">
        <f t="shared" si="174"/>
        <v/>
      </c>
      <c r="OA70" s="4" t="str">
        <f t="shared" si="175"/>
        <v/>
      </c>
      <c r="OB70" s="4" t="str">
        <f t="shared" si="176"/>
        <v/>
      </c>
      <c r="OC70" s="4" t="str">
        <f t="shared" si="177"/>
        <v/>
      </c>
      <c r="OD70" s="4" t="str">
        <f t="shared" si="178"/>
        <v/>
      </c>
      <c r="OE70" s="4" t="str">
        <f t="shared" si="179"/>
        <v/>
      </c>
      <c r="OF70" s="4" t="str">
        <f t="shared" si="180"/>
        <v/>
      </c>
      <c r="OG70" s="4" t="str">
        <f t="shared" si="181"/>
        <v/>
      </c>
      <c r="OH70" s="4" t="str">
        <f t="shared" si="182"/>
        <v/>
      </c>
      <c r="OI70" s="4" t="str">
        <f t="shared" si="183"/>
        <v/>
      </c>
      <c r="OJ70" s="4" t="str">
        <f t="shared" si="184"/>
        <v/>
      </c>
      <c r="OK70" s="4" t="str">
        <f t="shared" si="185"/>
        <v/>
      </c>
      <c r="OL70" s="4" t="str">
        <f t="shared" si="186"/>
        <v/>
      </c>
      <c r="OM70" s="4" t="str">
        <f t="shared" si="187"/>
        <v/>
      </c>
      <c r="ON70" s="4" t="str">
        <f t="shared" si="188"/>
        <v/>
      </c>
      <c r="OO70" s="4" t="str">
        <f t="shared" si="189"/>
        <v/>
      </c>
      <c r="OP70" s="4" t="str">
        <f t="shared" si="190"/>
        <v/>
      </c>
      <c r="OQ70" s="4" t="str">
        <f t="shared" si="191"/>
        <v/>
      </c>
      <c r="OR70" s="4" t="str">
        <f t="shared" si="192"/>
        <v/>
      </c>
      <c r="OS70" s="4" t="str">
        <f t="shared" si="193"/>
        <v/>
      </c>
      <c r="OT70" s="4" t="str">
        <f t="shared" si="194"/>
        <v/>
      </c>
      <c r="OU70" s="4" t="str">
        <f t="shared" si="195"/>
        <v/>
      </c>
      <c r="OV70" s="4" t="str">
        <f t="shared" si="196"/>
        <v/>
      </c>
      <c r="OW70" s="4" t="str">
        <f t="shared" si="197"/>
        <v/>
      </c>
      <c r="OX70" s="4" t="str">
        <f t="shared" si="198"/>
        <v/>
      </c>
      <c r="OY70" s="4" t="str">
        <f t="shared" si="199"/>
        <v/>
      </c>
      <c r="OZ70" s="4" t="str">
        <f t="shared" si="200"/>
        <v/>
      </c>
      <c r="PA70" s="4" t="str">
        <f t="shared" si="201"/>
        <v/>
      </c>
      <c r="PB70" s="4" t="str">
        <f t="shared" si="202"/>
        <v/>
      </c>
      <c r="PC70" s="4" t="str">
        <f t="shared" si="203"/>
        <v/>
      </c>
      <c r="PD70" s="4" t="str">
        <f t="shared" si="204"/>
        <v/>
      </c>
      <c r="PE70" s="4" t="str">
        <f t="shared" si="205"/>
        <v/>
      </c>
      <c r="PF70" s="4" t="str">
        <f t="shared" si="206"/>
        <v/>
      </c>
      <c r="PG70" s="4" t="str">
        <f t="shared" si="207"/>
        <v/>
      </c>
      <c r="PH70" s="4" t="str">
        <f t="shared" si="208"/>
        <v/>
      </c>
      <c r="PI70" s="4" t="str">
        <f t="shared" si="209"/>
        <v/>
      </c>
      <c r="PJ70" s="4" t="str">
        <f t="shared" si="210"/>
        <v/>
      </c>
      <c r="PK70" s="4" t="str">
        <f t="shared" si="211"/>
        <v/>
      </c>
      <c r="PL70" s="4" t="str">
        <f t="shared" si="212"/>
        <v/>
      </c>
      <c r="PM70" s="4" t="str">
        <f t="shared" si="213"/>
        <v/>
      </c>
      <c r="PN70" s="4" t="str">
        <f t="shared" si="214"/>
        <v/>
      </c>
      <c r="PO70" s="4" t="str">
        <f t="shared" si="215"/>
        <v/>
      </c>
      <c r="PP70" s="4" t="str">
        <f t="shared" si="216"/>
        <v/>
      </c>
      <c r="PQ70" s="4" t="str">
        <f t="shared" si="217"/>
        <v/>
      </c>
      <c r="PR70" s="4" t="str">
        <f t="shared" si="218"/>
        <v/>
      </c>
      <c r="PS70" s="4" t="str">
        <f t="shared" si="219"/>
        <v/>
      </c>
    </row>
    <row r="71">
      <c r="HI71" s="4" t="str">
        <f t="shared" si="2"/>
        <v/>
      </c>
      <c r="HJ71" s="4" t="str">
        <f t="shared" si="3"/>
        <v/>
      </c>
      <c r="HK71" s="4" t="str">
        <f t="shared" si="4"/>
        <v/>
      </c>
      <c r="HL71" s="4" t="str">
        <f t="shared" si="5"/>
        <v/>
      </c>
      <c r="HM71" s="4" t="str">
        <f t="shared" si="6"/>
        <v/>
      </c>
      <c r="HN71" s="4" t="str">
        <f t="shared" si="7"/>
        <v/>
      </c>
      <c r="HO71" s="4" t="str">
        <f t="shared" si="8"/>
        <v/>
      </c>
      <c r="HP71" s="4" t="str">
        <f t="shared" si="9"/>
        <v/>
      </c>
      <c r="HQ71" s="4" t="str">
        <f t="shared" si="10"/>
        <v/>
      </c>
      <c r="HR71" s="4" t="str">
        <f t="shared" si="11"/>
        <v/>
      </c>
      <c r="HS71" s="4" t="str">
        <f t="shared" si="12"/>
        <v/>
      </c>
      <c r="HT71" s="4" t="str">
        <f t="shared" si="13"/>
        <v/>
      </c>
      <c r="HU71" s="4" t="str">
        <f t="shared" si="14"/>
        <v/>
      </c>
      <c r="HV71" s="4" t="str">
        <f t="shared" si="15"/>
        <v/>
      </c>
      <c r="HW71" s="4" t="str">
        <f t="shared" si="16"/>
        <v/>
      </c>
      <c r="HX71" s="4" t="str">
        <f t="shared" si="17"/>
        <v/>
      </c>
      <c r="HY71" s="4" t="str">
        <f t="shared" si="18"/>
        <v/>
      </c>
      <c r="HZ71" s="4" t="str">
        <f t="shared" si="19"/>
        <v/>
      </c>
      <c r="IA71" s="4" t="str">
        <f t="shared" si="20"/>
        <v/>
      </c>
      <c r="IB71" s="4" t="str">
        <f t="shared" si="21"/>
        <v/>
      </c>
      <c r="IC71" s="4" t="str">
        <f t="shared" si="22"/>
        <v/>
      </c>
      <c r="ID71" s="4" t="str">
        <f t="shared" si="23"/>
        <v/>
      </c>
      <c r="IE71" s="4" t="str">
        <f t="shared" si="24"/>
        <v/>
      </c>
      <c r="IF71" s="4" t="str">
        <f t="shared" si="25"/>
        <v/>
      </c>
      <c r="IG71" s="4" t="str">
        <f t="shared" si="26"/>
        <v/>
      </c>
      <c r="IH71" s="4" t="str">
        <f t="shared" si="27"/>
        <v/>
      </c>
      <c r="II71" s="4" t="str">
        <f t="shared" si="28"/>
        <v/>
      </c>
      <c r="IJ71" s="4" t="str">
        <f t="shared" si="29"/>
        <v/>
      </c>
      <c r="IK71" s="4" t="str">
        <f t="shared" si="30"/>
        <v/>
      </c>
      <c r="IL71" s="4" t="str">
        <f t="shared" si="31"/>
        <v/>
      </c>
      <c r="IM71" s="4" t="str">
        <f t="shared" si="32"/>
        <v/>
      </c>
      <c r="IN71" s="4" t="str">
        <f t="shared" si="33"/>
        <v/>
      </c>
      <c r="IO71" s="4" t="str">
        <f t="shared" si="34"/>
        <v/>
      </c>
      <c r="IP71" s="4" t="str">
        <f t="shared" si="35"/>
        <v/>
      </c>
      <c r="IQ71" s="4" t="str">
        <f t="shared" si="36"/>
        <v/>
      </c>
      <c r="IR71" s="4" t="str">
        <f t="shared" si="37"/>
        <v/>
      </c>
      <c r="IS71" s="4" t="str">
        <f t="shared" si="38"/>
        <v/>
      </c>
      <c r="IT71" s="4" t="str">
        <f t="shared" si="39"/>
        <v/>
      </c>
      <c r="IU71" s="4" t="str">
        <f t="shared" si="40"/>
        <v/>
      </c>
      <c r="IV71" s="4" t="str">
        <f t="shared" si="41"/>
        <v/>
      </c>
      <c r="IW71" s="4" t="str">
        <f t="shared" si="42"/>
        <v/>
      </c>
      <c r="IX71" s="4" t="str">
        <f t="shared" si="43"/>
        <v/>
      </c>
      <c r="IY71" s="4" t="str">
        <f t="shared" si="44"/>
        <v/>
      </c>
      <c r="IZ71" s="4" t="str">
        <f t="shared" si="45"/>
        <v/>
      </c>
      <c r="JA71" s="4" t="str">
        <f t="shared" ref="JA71:JB71" si="287">if(ISERROR(SEARCH("Higher Education",BB71)),"","810")</f>
        <v/>
      </c>
      <c r="JB71" s="4" t="str">
        <f t="shared" si="287"/>
        <v/>
      </c>
      <c r="JC71" s="4" t="str">
        <f t="shared" si="47"/>
        <v/>
      </c>
      <c r="JD71" s="4" t="str">
        <f t="shared" si="48"/>
        <v/>
      </c>
      <c r="JE71" s="4" t="str">
        <f t="shared" si="49"/>
        <v/>
      </c>
      <c r="JF71" s="4" t="str">
        <f t="shared" si="50"/>
        <v/>
      </c>
      <c r="JG71" s="4" t="str">
        <f t="shared" si="51"/>
        <v/>
      </c>
      <c r="JH71" s="4" t="str">
        <f t="shared" si="52"/>
        <v/>
      </c>
      <c r="JI71" s="4" t="str">
        <f t="shared" si="53"/>
        <v/>
      </c>
      <c r="JJ71" s="4" t="str">
        <f t="shared" si="54"/>
        <v/>
      </c>
      <c r="JK71" s="4" t="str">
        <f t="shared" si="55"/>
        <v/>
      </c>
      <c r="JL71" s="4" t="str">
        <f t="shared" si="56"/>
        <v/>
      </c>
      <c r="JM71" s="4" t="str">
        <f t="shared" si="57"/>
        <v/>
      </c>
      <c r="JN71" s="4" t="str">
        <f t="shared" si="58"/>
        <v/>
      </c>
      <c r="JO71" s="4" t="str">
        <f t="shared" si="59"/>
        <v/>
      </c>
      <c r="JP71" s="4" t="str">
        <f t="shared" si="60"/>
        <v/>
      </c>
      <c r="JQ71" s="4" t="str">
        <f t="shared" si="61"/>
        <v/>
      </c>
      <c r="JR71" s="4" t="str">
        <f t="shared" si="62"/>
        <v/>
      </c>
      <c r="JS71" s="4" t="str">
        <f t="shared" si="63"/>
        <v/>
      </c>
      <c r="JT71" s="4" t="str">
        <f t="shared" si="64"/>
        <v/>
      </c>
      <c r="JU71" s="4" t="str">
        <f t="shared" si="65"/>
        <v/>
      </c>
      <c r="JV71" s="4" t="str">
        <f t="shared" si="66"/>
        <v/>
      </c>
      <c r="JW71" s="4" t="str">
        <f t="shared" si="67"/>
        <v/>
      </c>
      <c r="JX71" s="4" t="str">
        <f t="shared" si="68"/>
        <v/>
      </c>
      <c r="JY71" s="4" t="str">
        <f t="shared" si="69"/>
        <v/>
      </c>
      <c r="JZ71" s="4" t="str">
        <f t="shared" si="70"/>
        <v/>
      </c>
      <c r="KA71" s="4" t="str">
        <f t="shared" si="71"/>
        <v/>
      </c>
      <c r="KB71" s="4" t="str">
        <f t="shared" si="72"/>
        <v/>
      </c>
      <c r="KC71" s="4" t="str">
        <f t="shared" si="73"/>
        <v/>
      </c>
      <c r="KD71" s="4" t="str">
        <f t="shared" si="74"/>
        <v/>
      </c>
      <c r="KE71" s="4" t="str">
        <f t="shared" si="75"/>
        <v/>
      </c>
      <c r="KF71" s="4" t="str">
        <f t="shared" si="76"/>
        <v/>
      </c>
      <c r="KG71" s="4" t="str">
        <f t="shared" si="77"/>
        <v/>
      </c>
      <c r="KH71" s="4" t="str">
        <f t="shared" si="78"/>
        <v/>
      </c>
      <c r="KI71" s="4" t="str">
        <f t="shared" si="79"/>
        <v/>
      </c>
      <c r="KJ71" s="4" t="str">
        <f t="shared" si="80"/>
        <v/>
      </c>
      <c r="KK71" s="4" t="str">
        <f t="shared" si="81"/>
        <v/>
      </c>
      <c r="KL71" s="4" t="str">
        <f t="shared" si="82"/>
        <v/>
      </c>
      <c r="KM71" s="4" t="str">
        <f t="shared" si="83"/>
        <v/>
      </c>
      <c r="KN71" s="4" t="str">
        <f t="shared" si="84"/>
        <v/>
      </c>
      <c r="KO71" s="4" t="str">
        <f t="shared" si="85"/>
        <v/>
      </c>
      <c r="KP71" s="4" t="str">
        <f t="shared" si="86"/>
        <v/>
      </c>
      <c r="KQ71" s="4" t="str">
        <f t="shared" si="87"/>
        <v/>
      </c>
      <c r="KR71" s="4" t="str">
        <f t="shared" si="88"/>
        <v/>
      </c>
      <c r="KS71" s="4" t="str">
        <f t="shared" si="89"/>
        <v/>
      </c>
      <c r="KT71" s="4" t="str">
        <f t="shared" si="90"/>
        <v/>
      </c>
      <c r="KU71" s="4" t="str">
        <f t="shared" si="91"/>
        <v/>
      </c>
      <c r="KV71" s="4" t="str">
        <f t="shared" si="92"/>
        <v/>
      </c>
      <c r="KW71" s="4" t="str">
        <f t="shared" si="93"/>
        <v/>
      </c>
      <c r="KX71" s="4" t="str">
        <f t="shared" si="94"/>
        <v/>
      </c>
      <c r="KY71" s="4" t="str">
        <f t="shared" si="95"/>
        <v/>
      </c>
      <c r="KZ71" s="4" t="str">
        <f t="shared" si="96"/>
        <v/>
      </c>
      <c r="LA71" s="4" t="str">
        <f t="shared" si="97"/>
        <v/>
      </c>
      <c r="LB71" s="4" t="str">
        <f t="shared" si="98"/>
        <v/>
      </c>
      <c r="LC71" s="4" t="str">
        <f t="shared" si="99"/>
        <v/>
      </c>
      <c r="LD71" s="4" t="str">
        <f t="shared" si="100"/>
        <v/>
      </c>
      <c r="LE71" s="4" t="str">
        <f t="shared" si="101"/>
        <v/>
      </c>
      <c r="LF71" s="4" t="str">
        <f t="shared" si="102"/>
        <v/>
      </c>
      <c r="LG71" s="4" t="str">
        <f t="shared" si="103"/>
        <v/>
      </c>
      <c r="LH71" s="4" t="str">
        <f t="shared" si="104"/>
        <v/>
      </c>
      <c r="LI71" s="4" t="str">
        <f t="shared" si="105"/>
        <v/>
      </c>
      <c r="LJ71" s="4" t="str">
        <f t="shared" si="106"/>
        <v/>
      </c>
      <c r="LK71" s="4" t="str">
        <f t="shared" si="107"/>
        <v/>
      </c>
      <c r="LL71" s="4" t="str">
        <f t="shared" si="108"/>
        <v/>
      </c>
      <c r="LM71" s="4" t="str">
        <f t="shared" si="109"/>
        <v/>
      </c>
      <c r="LN71" s="4" t="str">
        <f t="shared" si="110"/>
        <v/>
      </c>
      <c r="LO71" s="4" t="str">
        <f t="shared" si="111"/>
        <v/>
      </c>
      <c r="LP71" s="4" t="str">
        <f t="shared" si="112"/>
        <v/>
      </c>
      <c r="LQ71" s="4" t="str">
        <f t="shared" si="113"/>
        <v/>
      </c>
      <c r="LR71" s="4" t="str">
        <f t="shared" si="114"/>
        <v/>
      </c>
      <c r="LS71" s="4" t="str">
        <f t="shared" si="115"/>
        <v/>
      </c>
      <c r="LT71" s="4" t="str">
        <f t="shared" si="116"/>
        <v/>
      </c>
      <c r="LU71" s="4" t="str">
        <f t="shared" si="117"/>
        <v/>
      </c>
      <c r="LV71" s="4" t="str">
        <f t="shared" si="118"/>
        <v/>
      </c>
      <c r="LW71" s="4" t="str">
        <f t="shared" si="119"/>
        <v/>
      </c>
      <c r="LX71" s="4" t="str">
        <f t="shared" si="120"/>
        <v/>
      </c>
      <c r="LY71" s="4" t="str">
        <f t="shared" si="121"/>
        <v/>
      </c>
      <c r="LZ71" s="4" t="str">
        <f t="shared" si="122"/>
        <v/>
      </c>
      <c r="MA71" s="4" t="str">
        <f t="shared" si="123"/>
        <v/>
      </c>
      <c r="MB71" s="4" t="str">
        <f t="shared" si="124"/>
        <v/>
      </c>
      <c r="MC71" s="4" t="str">
        <f t="shared" si="125"/>
        <v/>
      </c>
      <c r="MD71" s="4" t="str">
        <f t="shared" si="126"/>
        <v/>
      </c>
      <c r="ME71" s="4" t="str">
        <f t="shared" si="127"/>
        <v/>
      </c>
      <c r="MF71" s="4" t="str">
        <f t="shared" si="128"/>
        <v/>
      </c>
      <c r="MG71" s="4" t="str">
        <f t="shared" si="129"/>
        <v/>
      </c>
      <c r="MH71" s="4" t="str">
        <f t="shared" si="130"/>
        <v/>
      </c>
      <c r="MI71" s="4" t="str">
        <f t="shared" si="131"/>
        <v/>
      </c>
      <c r="MJ71" s="4" t="str">
        <f t="shared" si="132"/>
        <v/>
      </c>
      <c r="MK71" s="4" t="str">
        <f t="shared" si="133"/>
        <v/>
      </c>
      <c r="ML71" s="4" t="str">
        <f t="shared" si="134"/>
        <v/>
      </c>
      <c r="MM71" s="4" t="str">
        <f t="shared" si="135"/>
        <v/>
      </c>
      <c r="MN71" s="4" t="str">
        <f t="shared" si="136"/>
        <v/>
      </c>
      <c r="MO71" s="4" t="str">
        <f t="shared" si="137"/>
        <v/>
      </c>
      <c r="MP71" s="4" t="str">
        <f t="shared" si="138"/>
        <v/>
      </c>
      <c r="MQ71" s="4" t="str">
        <f t="shared" si="139"/>
        <v/>
      </c>
      <c r="MR71" s="4" t="str">
        <f t="shared" si="140"/>
        <v/>
      </c>
      <c r="MS71" s="4" t="str">
        <f t="shared" si="141"/>
        <v/>
      </c>
      <c r="MT71" s="4" t="str">
        <f t="shared" si="142"/>
        <v/>
      </c>
      <c r="MU71" s="4" t="str">
        <f t="shared" si="143"/>
        <v/>
      </c>
      <c r="MV71" s="4" t="str">
        <f t="shared" si="144"/>
        <v/>
      </c>
      <c r="MW71" s="4" t="str">
        <f t="shared" si="145"/>
        <v/>
      </c>
      <c r="MX71" s="4" t="str">
        <f t="shared" si="146"/>
        <v/>
      </c>
      <c r="MY71" s="4" t="str">
        <f t="shared" si="147"/>
        <v/>
      </c>
      <c r="MZ71" s="4" t="str">
        <f t="shared" si="148"/>
        <v/>
      </c>
      <c r="NA71" s="4" t="str">
        <f t="shared" si="149"/>
        <v/>
      </c>
      <c r="NB71" s="4" t="str">
        <f t="shared" si="150"/>
        <v/>
      </c>
      <c r="NC71" s="4" t="str">
        <f t="shared" si="151"/>
        <v/>
      </c>
      <c r="ND71" s="4" t="str">
        <f t="shared" si="152"/>
        <v/>
      </c>
      <c r="NE71" s="4" t="str">
        <f t="shared" si="153"/>
        <v/>
      </c>
      <c r="NF71" s="4" t="str">
        <f t="shared" si="154"/>
        <v/>
      </c>
      <c r="NG71" s="4" t="str">
        <f t="shared" si="155"/>
        <v/>
      </c>
      <c r="NH71" s="4" t="str">
        <f t="shared" si="156"/>
        <v/>
      </c>
      <c r="NI71" s="4" t="str">
        <f t="shared" si="157"/>
        <v/>
      </c>
      <c r="NJ71" s="4" t="str">
        <f t="shared" si="158"/>
        <v/>
      </c>
      <c r="NK71" s="4" t="str">
        <f t="shared" si="159"/>
        <v/>
      </c>
      <c r="NL71" s="4" t="str">
        <f t="shared" si="160"/>
        <v/>
      </c>
      <c r="NM71" s="4" t="str">
        <f t="shared" si="161"/>
        <v/>
      </c>
      <c r="NN71" s="4" t="str">
        <f t="shared" si="162"/>
        <v/>
      </c>
      <c r="NO71" s="4" t="str">
        <f t="shared" si="163"/>
        <v/>
      </c>
      <c r="NP71" s="4" t="str">
        <f t="shared" si="164"/>
        <v/>
      </c>
      <c r="NQ71" s="4" t="str">
        <f t="shared" si="165"/>
        <v/>
      </c>
      <c r="NR71" s="4" t="str">
        <f t="shared" si="166"/>
        <v/>
      </c>
      <c r="NS71" s="4" t="str">
        <f t="shared" si="167"/>
        <v/>
      </c>
      <c r="NT71" s="4" t="str">
        <f t="shared" si="168"/>
        <v/>
      </c>
      <c r="NU71" s="4" t="str">
        <f t="shared" si="169"/>
        <v/>
      </c>
      <c r="NV71" s="4" t="str">
        <f t="shared" si="170"/>
        <v/>
      </c>
      <c r="NW71" s="4" t="str">
        <f t="shared" si="171"/>
        <v/>
      </c>
      <c r="NX71" s="4" t="str">
        <f t="shared" si="172"/>
        <v/>
      </c>
      <c r="NY71" s="4" t="str">
        <f t="shared" si="173"/>
        <v/>
      </c>
      <c r="NZ71" s="4" t="str">
        <f t="shared" si="174"/>
        <v/>
      </c>
      <c r="OA71" s="4" t="str">
        <f t="shared" si="175"/>
        <v/>
      </c>
      <c r="OB71" s="4" t="str">
        <f t="shared" si="176"/>
        <v/>
      </c>
      <c r="OC71" s="4" t="str">
        <f t="shared" si="177"/>
        <v/>
      </c>
      <c r="OD71" s="4" t="str">
        <f t="shared" si="178"/>
        <v/>
      </c>
      <c r="OE71" s="4" t="str">
        <f t="shared" si="179"/>
        <v/>
      </c>
      <c r="OF71" s="4" t="str">
        <f t="shared" si="180"/>
        <v/>
      </c>
      <c r="OG71" s="4" t="str">
        <f t="shared" si="181"/>
        <v/>
      </c>
      <c r="OH71" s="4" t="str">
        <f t="shared" si="182"/>
        <v/>
      </c>
      <c r="OI71" s="4" t="str">
        <f t="shared" si="183"/>
        <v/>
      </c>
      <c r="OJ71" s="4" t="str">
        <f t="shared" si="184"/>
        <v/>
      </c>
      <c r="OK71" s="4" t="str">
        <f t="shared" si="185"/>
        <v/>
      </c>
      <c r="OL71" s="4" t="str">
        <f t="shared" si="186"/>
        <v/>
      </c>
      <c r="OM71" s="4" t="str">
        <f t="shared" si="187"/>
        <v/>
      </c>
      <c r="ON71" s="4" t="str">
        <f t="shared" si="188"/>
        <v/>
      </c>
      <c r="OO71" s="4" t="str">
        <f t="shared" si="189"/>
        <v/>
      </c>
      <c r="OP71" s="4" t="str">
        <f t="shared" si="190"/>
        <v/>
      </c>
      <c r="OQ71" s="4" t="str">
        <f t="shared" si="191"/>
        <v/>
      </c>
      <c r="OR71" s="4" t="str">
        <f t="shared" si="192"/>
        <v/>
      </c>
      <c r="OS71" s="4" t="str">
        <f t="shared" si="193"/>
        <v/>
      </c>
      <c r="OT71" s="4" t="str">
        <f t="shared" si="194"/>
        <v/>
      </c>
      <c r="OU71" s="4" t="str">
        <f t="shared" si="195"/>
        <v/>
      </c>
      <c r="OV71" s="4" t="str">
        <f t="shared" si="196"/>
        <v/>
      </c>
      <c r="OW71" s="4" t="str">
        <f t="shared" si="197"/>
        <v/>
      </c>
      <c r="OX71" s="4" t="str">
        <f t="shared" si="198"/>
        <v/>
      </c>
      <c r="OY71" s="4" t="str">
        <f t="shared" si="199"/>
        <v/>
      </c>
      <c r="OZ71" s="4" t="str">
        <f t="shared" si="200"/>
        <v/>
      </c>
      <c r="PA71" s="4" t="str">
        <f t="shared" si="201"/>
        <v/>
      </c>
      <c r="PB71" s="4" t="str">
        <f t="shared" si="202"/>
        <v/>
      </c>
      <c r="PC71" s="4" t="str">
        <f t="shared" si="203"/>
        <v/>
      </c>
      <c r="PD71" s="4" t="str">
        <f t="shared" si="204"/>
        <v/>
      </c>
      <c r="PE71" s="4" t="str">
        <f t="shared" si="205"/>
        <v/>
      </c>
      <c r="PF71" s="4" t="str">
        <f t="shared" si="206"/>
        <v/>
      </c>
      <c r="PG71" s="4" t="str">
        <f t="shared" si="207"/>
        <v/>
      </c>
      <c r="PH71" s="4" t="str">
        <f t="shared" si="208"/>
        <v/>
      </c>
      <c r="PI71" s="4" t="str">
        <f t="shared" si="209"/>
        <v/>
      </c>
      <c r="PJ71" s="4" t="str">
        <f t="shared" si="210"/>
        <v/>
      </c>
      <c r="PK71" s="4" t="str">
        <f t="shared" si="211"/>
        <v/>
      </c>
      <c r="PL71" s="4" t="str">
        <f t="shared" si="212"/>
        <v/>
      </c>
      <c r="PM71" s="4" t="str">
        <f t="shared" si="213"/>
        <v/>
      </c>
      <c r="PN71" s="4" t="str">
        <f t="shared" si="214"/>
        <v/>
      </c>
      <c r="PO71" s="4" t="str">
        <f t="shared" si="215"/>
        <v/>
      </c>
      <c r="PP71" s="4" t="str">
        <f t="shared" si="216"/>
        <v/>
      </c>
      <c r="PQ71" s="4" t="str">
        <f t="shared" si="217"/>
        <v/>
      </c>
      <c r="PR71" s="4" t="str">
        <f t="shared" si="218"/>
        <v/>
      </c>
      <c r="PS71" s="4" t="str">
        <f t="shared" si="219"/>
        <v/>
      </c>
    </row>
    <row r="72">
      <c r="HI72" s="4" t="str">
        <f t="shared" si="2"/>
        <v/>
      </c>
      <c r="HJ72" s="4" t="str">
        <f t="shared" si="3"/>
        <v/>
      </c>
      <c r="HK72" s="4" t="str">
        <f t="shared" si="4"/>
        <v/>
      </c>
      <c r="HL72" s="4" t="str">
        <f t="shared" si="5"/>
        <v/>
      </c>
      <c r="HM72" s="4" t="str">
        <f t="shared" si="6"/>
        <v/>
      </c>
      <c r="HN72" s="4" t="str">
        <f t="shared" si="7"/>
        <v/>
      </c>
      <c r="HO72" s="4" t="str">
        <f t="shared" si="8"/>
        <v/>
      </c>
      <c r="HP72" s="4" t="str">
        <f t="shared" si="9"/>
        <v/>
      </c>
      <c r="HQ72" s="4" t="str">
        <f t="shared" si="10"/>
        <v/>
      </c>
      <c r="HR72" s="4" t="str">
        <f t="shared" si="11"/>
        <v/>
      </c>
      <c r="HS72" s="4" t="str">
        <f t="shared" si="12"/>
        <v/>
      </c>
      <c r="HT72" s="4" t="str">
        <f t="shared" si="13"/>
        <v/>
      </c>
      <c r="HU72" s="4" t="str">
        <f t="shared" si="14"/>
        <v/>
      </c>
      <c r="HV72" s="4" t="str">
        <f t="shared" si="15"/>
        <v/>
      </c>
      <c r="HW72" s="4" t="str">
        <f t="shared" si="16"/>
        <v/>
      </c>
      <c r="HX72" s="4" t="str">
        <f t="shared" si="17"/>
        <v/>
      </c>
      <c r="HY72" s="4" t="str">
        <f t="shared" si="18"/>
        <v/>
      </c>
      <c r="HZ72" s="4" t="str">
        <f t="shared" si="19"/>
        <v/>
      </c>
      <c r="IA72" s="4" t="str">
        <f t="shared" si="20"/>
        <v/>
      </c>
      <c r="IB72" s="4" t="str">
        <f t="shared" si="21"/>
        <v/>
      </c>
      <c r="IC72" s="4" t="str">
        <f t="shared" si="22"/>
        <v/>
      </c>
      <c r="ID72" s="4" t="str">
        <f t="shared" si="23"/>
        <v/>
      </c>
      <c r="IE72" s="4" t="str">
        <f t="shared" si="24"/>
        <v/>
      </c>
      <c r="IF72" s="4" t="str">
        <f t="shared" si="25"/>
        <v/>
      </c>
      <c r="IG72" s="4" t="str">
        <f t="shared" si="26"/>
        <v/>
      </c>
      <c r="IH72" s="4" t="str">
        <f t="shared" si="27"/>
        <v/>
      </c>
      <c r="II72" s="4" t="str">
        <f t="shared" si="28"/>
        <v/>
      </c>
      <c r="IJ72" s="4" t="str">
        <f t="shared" si="29"/>
        <v/>
      </c>
      <c r="IK72" s="4" t="str">
        <f t="shared" si="30"/>
        <v/>
      </c>
      <c r="IL72" s="4" t="str">
        <f t="shared" si="31"/>
        <v/>
      </c>
      <c r="IM72" s="4" t="str">
        <f t="shared" si="32"/>
        <v/>
      </c>
      <c r="IN72" s="4" t="str">
        <f t="shared" si="33"/>
        <v/>
      </c>
      <c r="IO72" s="4" t="str">
        <f t="shared" si="34"/>
        <v/>
      </c>
      <c r="IP72" s="4" t="str">
        <f t="shared" si="35"/>
        <v/>
      </c>
      <c r="IQ72" s="4" t="str">
        <f t="shared" si="36"/>
        <v/>
      </c>
      <c r="IR72" s="4" t="str">
        <f t="shared" si="37"/>
        <v/>
      </c>
      <c r="IS72" s="4" t="str">
        <f t="shared" si="38"/>
        <v/>
      </c>
      <c r="IT72" s="4" t="str">
        <f t="shared" si="39"/>
        <v/>
      </c>
      <c r="IU72" s="4" t="str">
        <f t="shared" si="40"/>
        <v/>
      </c>
      <c r="IV72" s="4" t="str">
        <f t="shared" si="41"/>
        <v/>
      </c>
      <c r="IW72" s="4" t="str">
        <f t="shared" si="42"/>
        <v/>
      </c>
      <c r="IX72" s="4" t="str">
        <f t="shared" si="43"/>
        <v/>
      </c>
      <c r="IY72" s="4" t="str">
        <f t="shared" si="44"/>
        <v/>
      </c>
      <c r="IZ72" s="4" t="str">
        <f t="shared" si="45"/>
        <v/>
      </c>
      <c r="JA72" s="4" t="str">
        <f t="shared" ref="JA72:JB72" si="288">if(ISERROR(SEARCH("Higher Education",BB72)),"","810")</f>
        <v/>
      </c>
      <c r="JB72" s="4" t="str">
        <f t="shared" si="288"/>
        <v/>
      </c>
      <c r="JC72" s="4" t="str">
        <f t="shared" si="47"/>
        <v/>
      </c>
      <c r="JD72" s="4" t="str">
        <f t="shared" si="48"/>
        <v/>
      </c>
      <c r="JE72" s="4" t="str">
        <f t="shared" si="49"/>
        <v/>
      </c>
      <c r="JF72" s="4" t="str">
        <f t="shared" si="50"/>
        <v/>
      </c>
      <c r="JG72" s="4" t="str">
        <f t="shared" si="51"/>
        <v/>
      </c>
      <c r="JH72" s="4" t="str">
        <f t="shared" si="52"/>
        <v/>
      </c>
      <c r="JI72" s="4" t="str">
        <f t="shared" si="53"/>
        <v/>
      </c>
      <c r="JJ72" s="4" t="str">
        <f t="shared" si="54"/>
        <v/>
      </c>
      <c r="JK72" s="4" t="str">
        <f t="shared" si="55"/>
        <v/>
      </c>
      <c r="JL72" s="4" t="str">
        <f t="shared" si="56"/>
        <v/>
      </c>
      <c r="JM72" s="4" t="str">
        <f t="shared" si="57"/>
        <v/>
      </c>
      <c r="JN72" s="4" t="str">
        <f t="shared" si="58"/>
        <v/>
      </c>
      <c r="JO72" s="4" t="str">
        <f t="shared" si="59"/>
        <v/>
      </c>
      <c r="JP72" s="4" t="str">
        <f t="shared" si="60"/>
        <v/>
      </c>
      <c r="JQ72" s="4" t="str">
        <f t="shared" si="61"/>
        <v/>
      </c>
      <c r="JR72" s="4" t="str">
        <f t="shared" si="62"/>
        <v/>
      </c>
      <c r="JS72" s="4" t="str">
        <f t="shared" si="63"/>
        <v/>
      </c>
      <c r="JT72" s="4" t="str">
        <f t="shared" si="64"/>
        <v/>
      </c>
      <c r="JU72" s="4" t="str">
        <f t="shared" si="65"/>
        <v/>
      </c>
      <c r="JV72" s="4" t="str">
        <f t="shared" si="66"/>
        <v/>
      </c>
      <c r="JW72" s="4" t="str">
        <f t="shared" si="67"/>
        <v/>
      </c>
      <c r="JX72" s="4" t="str">
        <f t="shared" si="68"/>
        <v/>
      </c>
      <c r="JY72" s="4" t="str">
        <f t="shared" si="69"/>
        <v/>
      </c>
      <c r="JZ72" s="4" t="str">
        <f t="shared" si="70"/>
        <v/>
      </c>
      <c r="KA72" s="4" t="str">
        <f t="shared" si="71"/>
        <v/>
      </c>
      <c r="KB72" s="4" t="str">
        <f t="shared" si="72"/>
        <v/>
      </c>
      <c r="KC72" s="4" t="str">
        <f t="shared" si="73"/>
        <v/>
      </c>
      <c r="KD72" s="4" t="str">
        <f t="shared" si="74"/>
        <v/>
      </c>
      <c r="KE72" s="4" t="str">
        <f t="shared" si="75"/>
        <v/>
      </c>
      <c r="KF72" s="4" t="str">
        <f t="shared" si="76"/>
        <v/>
      </c>
      <c r="KG72" s="4" t="str">
        <f t="shared" si="77"/>
        <v/>
      </c>
      <c r="KH72" s="4" t="str">
        <f t="shared" si="78"/>
        <v/>
      </c>
      <c r="KI72" s="4" t="str">
        <f t="shared" si="79"/>
        <v/>
      </c>
      <c r="KJ72" s="4" t="str">
        <f t="shared" si="80"/>
        <v/>
      </c>
      <c r="KK72" s="4" t="str">
        <f t="shared" si="81"/>
        <v/>
      </c>
      <c r="KL72" s="4" t="str">
        <f t="shared" si="82"/>
        <v/>
      </c>
      <c r="KM72" s="4" t="str">
        <f t="shared" si="83"/>
        <v/>
      </c>
      <c r="KN72" s="4" t="str">
        <f t="shared" si="84"/>
        <v/>
      </c>
      <c r="KO72" s="4" t="str">
        <f t="shared" si="85"/>
        <v/>
      </c>
      <c r="KP72" s="4" t="str">
        <f t="shared" si="86"/>
        <v/>
      </c>
      <c r="KQ72" s="4" t="str">
        <f t="shared" si="87"/>
        <v/>
      </c>
      <c r="KR72" s="4" t="str">
        <f t="shared" si="88"/>
        <v/>
      </c>
      <c r="KS72" s="4" t="str">
        <f t="shared" si="89"/>
        <v/>
      </c>
      <c r="KT72" s="4" t="str">
        <f t="shared" si="90"/>
        <v/>
      </c>
      <c r="KU72" s="4" t="str">
        <f t="shared" si="91"/>
        <v/>
      </c>
      <c r="KV72" s="4" t="str">
        <f t="shared" si="92"/>
        <v/>
      </c>
      <c r="KW72" s="4" t="str">
        <f t="shared" si="93"/>
        <v/>
      </c>
      <c r="KX72" s="4" t="str">
        <f t="shared" si="94"/>
        <v/>
      </c>
      <c r="KY72" s="4" t="str">
        <f t="shared" si="95"/>
        <v/>
      </c>
      <c r="KZ72" s="4" t="str">
        <f t="shared" si="96"/>
        <v/>
      </c>
      <c r="LA72" s="4" t="str">
        <f t="shared" si="97"/>
        <v/>
      </c>
      <c r="LB72" s="4" t="str">
        <f t="shared" si="98"/>
        <v/>
      </c>
      <c r="LC72" s="4" t="str">
        <f t="shared" si="99"/>
        <v/>
      </c>
      <c r="LD72" s="4" t="str">
        <f t="shared" si="100"/>
        <v/>
      </c>
      <c r="LE72" s="4" t="str">
        <f t="shared" si="101"/>
        <v/>
      </c>
      <c r="LF72" s="4" t="str">
        <f t="shared" si="102"/>
        <v/>
      </c>
      <c r="LG72" s="4" t="str">
        <f t="shared" si="103"/>
        <v/>
      </c>
      <c r="LH72" s="4" t="str">
        <f t="shared" si="104"/>
        <v/>
      </c>
      <c r="LI72" s="4" t="str">
        <f t="shared" si="105"/>
        <v/>
      </c>
      <c r="LJ72" s="4" t="str">
        <f t="shared" si="106"/>
        <v/>
      </c>
      <c r="LK72" s="4" t="str">
        <f t="shared" si="107"/>
        <v/>
      </c>
      <c r="LL72" s="4" t="str">
        <f t="shared" si="108"/>
        <v/>
      </c>
      <c r="LM72" s="4" t="str">
        <f t="shared" si="109"/>
        <v/>
      </c>
      <c r="LN72" s="4" t="str">
        <f t="shared" si="110"/>
        <v/>
      </c>
      <c r="LO72" s="4" t="str">
        <f t="shared" si="111"/>
        <v/>
      </c>
      <c r="LP72" s="4" t="str">
        <f t="shared" si="112"/>
        <v/>
      </c>
      <c r="LQ72" s="4" t="str">
        <f t="shared" si="113"/>
        <v/>
      </c>
      <c r="LR72" s="4" t="str">
        <f t="shared" si="114"/>
        <v/>
      </c>
      <c r="LS72" s="4" t="str">
        <f t="shared" si="115"/>
        <v/>
      </c>
      <c r="LT72" s="4" t="str">
        <f t="shared" si="116"/>
        <v/>
      </c>
      <c r="LU72" s="4" t="str">
        <f t="shared" si="117"/>
        <v/>
      </c>
      <c r="LV72" s="4" t="str">
        <f t="shared" si="118"/>
        <v/>
      </c>
      <c r="LW72" s="4" t="str">
        <f t="shared" si="119"/>
        <v/>
      </c>
      <c r="LX72" s="4" t="str">
        <f t="shared" si="120"/>
        <v/>
      </c>
      <c r="LY72" s="4" t="str">
        <f t="shared" si="121"/>
        <v/>
      </c>
      <c r="LZ72" s="4" t="str">
        <f t="shared" si="122"/>
        <v/>
      </c>
      <c r="MA72" s="4" t="str">
        <f t="shared" si="123"/>
        <v/>
      </c>
      <c r="MB72" s="4" t="str">
        <f t="shared" si="124"/>
        <v/>
      </c>
      <c r="MC72" s="4" t="str">
        <f t="shared" si="125"/>
        <v/>
      </c>
      <c r="MD72" s="4" t="str">
        <f t="shared" si="126"/>
        <v/>
      </c>
      <c r="ME72" s="4" t="str">
        <f t="shared" si="127"/>
        <v/>
      </c>
      <c r="MF72" s="4" t="str">
        <f t="shared" si="128"/>
        <v/>
      </c>
      <c r="MG72" s="4" t="str">
        <f t="shared" si="129"/>
        <v/>
      </c>
      <c r="MH72" s="4" t="str">
        <f t="shared" si="130"/>
        <v/>
      </c>
      <c r="MI72" s="4" t="str">
        <f t="shared" si="131"/>
        <v/>
      </c>
      <c r="MJ72" s="4" t="str">
        <f t="shared" si="132"/>
        <v/>
      </c>
      <c r="MK72" s="4" t="str">
        <f t="shared" si="133"/>
        <v/>
      </c>
      <c r="ML72" s="4" t="str">
        <f t="shared" si="134"/>
        <v/>
      </c>
      <c r="MM72" s="4" t="str">
        <f t="shared" si="135"/>
        <v/>
      </c>
      <c r="MN72" s="4" t="str">
        <f t="shared" si="136"/>
        <v/>
      </c>
      <c r="MO72" s="4" t="str">
        <f t="shared" si="137"/>
        <v/>
      </c>
      <c r="MP72" s="4" t="str">
        <f t="shared" si="138"/>
        <v/>
      </c>
      <c r="MQ72" s="4" t="str">
        <f t="shared" si="139"/>
        <v/>
      </c>
      <c r="MR72" s="4" t="str">
        <f t="shared" si="140"/>
        <v/>
      </c>
      <c r="MS72" s="4" t="str">
        <f t="shared" si="141"/>
        <v/>
      </c>
      <c r="MT72" s="4" t="str">
        <f t="shared" si="142"/>
        <v/>
      </c>
      <c r="MU72" s="4" t="str">
        <f t="shared" si="143"/>
        <v/>
      </c>
      <c r="MV72" s="4" t="str">
        <f t="shared" si="144"/>
        <v/>
      </c>
      <c r="MW72" s="4" t="str">
        <f t="shared" si="145"/>
        <v/>
      </c>
      <c r="MX72" s="4" t="str">
        <f t="shared" si="146"/>
        <v/>
      </c>
      <c r="MY72" s="4" t="str">
        <f t="shared" si="147"/>
        <v/>
      </c>
      <c r="MZ72" s="4" t="str">
        <f t="shared" si="148"/>
        <v/>
      </c>
      <c r="NA72" s="4" t="str">
        <f t="shared" si="149"/>
        <v/>
      </c>
      <c r="NB72" s="4" t="str">
        <f t="shared" si="150"/>
        <v/>
      </c>
      <c r="NC72" s="4" t="str">
        <f t="shared" si="151"/>
        <v/>
      </c>
      <c r="ND72" s="4" t="str">
        <f t="shared" si="152"/>
        <v/>
      </c>
      <c r="NE72" s="4" t="str">
        <f t="shared" si="153"/>
        <v/>
      </c>
      <c r="NF72" s="4" t="str">
        <f t="shared" si="154"/>
        <v/>
      </c>
      <c r="NG72" s="4" t="str">
        <f t="shared" si="155"/>
        <v/>
      </c>
      <c r="NH72" s="4" t="str">
        <f t="shared" si="156"/>
        <v/>
      </c>
      <c r="NI72" s="4" t="str">
        <f t="shared" si="157"/>
        <v/>
      </c>
      <c r="NJ72" s="4" t="str">
        <f t="shared" si="158"/>
        <v/>
      </c>
      <c r="NK72" s="4" t="str">
        <f t="shared" si="159"/>
        <v/>
      </c>
      <c r="NL72" s="4" t="str">
        <f t="shared" si="160"/>
        <v/>
      </c>
      <c r="NM72" s="4" t="str">
        <f t="shared" si="161"/>
        <v/>
      </c>
      <c r="NN72" s="4" t="str">
        <f t="shared" si="162"/>
        <v/>
      </c>
      <c r="NO72" s="4" t="str">
        <f t="shared" si="163"/>
        <v/>
      </c>
      <c r="NP72" s="4" t="str">
        <f t="shared" si="164"/>
        <v/>
      </c>
      <c r="NQ72" s="4" t="str">
        <f t="shared" si="165"/>
        <v/>
      </c>
      <c r="NR72" s="4" t="str">
        <f t="shared" si="166"/>
        <v/>
      </c>
      <c r="NS72" s="4" t="str">
        <f t="shared" si="167"/>
        <v/>
      </c>
      <c r="NT72" s="4" t="str">
        <f t="shared" si="168"/>
        <v/>
      </c>
      <c r="NU72" s="4" t="str">
        <f t="shared" si="169"/>
        <v/>
      </c>
      <c r="NV72" s="4" t="str">
        <f t="shared" si="170"/>
        <v/>
      </c>
      <c r="NW72" s="4" t="str">
        <f t="shared" si="171"/>
        <v/>
      </c>
      <c r="NX72" s="4" t="str">
        <f t="shared" si="172"/>
        <v/>
      </c>
      <c r="NY72" s="4" t="str">
        <f t="shared" si="173"/>
        <v/>
      </c>
      <c r="NZ72" s="4" t="str">
        <f t="shared" si="174"/>
        <v/>
      </c>
      <c r="OA72" s="4" t="str">
        <f t="shared" si="175"/>
        <v/>
      </c>
      <c r="OB72" s="4" t="str">
        <f t="shared" si="176"/>
        <v/>
      </c>
      <c r="OC72" s="4" t="str">
        <f t="shared" si="177"/>
        <v/>
      </c>
      <c r="OD72" s="4" t="str">
        <f t="shared" si="178"/>
        <v/>
      </c>
      <c r="OE72" s="4" t="str">
        <f t="shared" si="179"/>
        <v/>
      </c>
      <c r="OF72" s="4" t="str">
        <f t="shared" si="180"/>
        <v/>
      </c>
      <c r="OG72" s="4" t="str">
        <f t="shared" si="181"/>
        <v/>
      </c>
      <c r="OH72" s="4" t="str">
        <f t="shared" si="182"/>
        <v/>
      </c>
      <c r="OI72" s="4" t="str">
        <f t="shared" si="183"/>
        <v/>
      </c>
      <c r="OJ72" s="4" t="str">
        <f t="shared" si="184"/>
        <v/>
      </c>
      <c r="OK72" s="4" t="str">
        <f t="shared" si="185"/>
        <v/>
      </c>
      <c r="OL72" s="4" t="str">
        <f t="shared" si="186"/>
        <v/>
      </c>
      <c r="OM72" s="4" t="str">
        <f t="shared" si="187"/>
        <v/>
      </c>
      <c r="ON72" s="4" t="str">
        <f t="shared" si="188"/>
        <v/>
      </c>
      <c r="OO72" s="4" t="str">
        <f t="shared" si="189"/>
        <v/>
      </c>
      <c r="OP72" s="4" t="str">
        <f t="shared" si="190"/>
        <v/>
      </c>
      <c r="OQ72" s="4" t="str">
        <f t="shared" si="191"/>
        <v/>
      </c>
      <c r="OR72" s="4" t="str">
        <f t="shared" si="192"/>
        <v/>
      </c>
      <c r="OS72" s="4" t="str">
        <f t="shared" si="193"/>
        <v/>
      </c>
      <c r="OT72" s="4" t="str">
        <f t="shared" si="194"/>
        <v/>
      </c>
      <c r="OU72" s="4" t="str">
        <f t="shared" si="195"/>
        <v/>
      </c>
      <c r="OV72" s="4" t="str">
        <f t="shared" si="196"/>
        <v/>
      </c>
      <c r="OW72" s="4" t="str">
        <f t="shared" si="197"/>
        <v/>
      </c>
      <c r="OX72" s="4" t="str">
        <f t="shared" si="198"/>
        <v/>
      </c>
      <c r="OY72" s="4" t="str">
        <f t="shared" si="199"/>
        <v/>
      </c>
      <c r="OZ72" s="4" t="str">
        <f t="shared" si="200"/>
        <v/>
      </c>
      <c r="PA72" s="4" t="str">
        <f t="shared" si="201"/>
        <v/>
      </c>
      <c r="PB72" s="4" t="str">
        <f t="shared" si="202"/>
        <v/>
      </c>
      <c r="PC72" s="4" t="str">
        <f t="shared" si="203"/>
        <v/>
      </c>
      <c r="PD72" s="4" t="str">
        <f t="shared" si="204"/>
        <v/>
      </c>
      <c r="PE72" s="4" t="str">
        <f t="shared" si="205"/>
        <v/>
      </c>
      <c r="PF72" s="4" t="str">
        <f t="shared" si="206"/>
        <v/>
      </c>
      <c r="PG72" s="4" t="str">
        <f t="shared" si="207"/>
        <v/>
      </c>
      <c r="PH72" s="4" t="str">
        <f t="shared" si="208"/>
        <v/>
      </c>
      <c r="PI72" s="4" t="str">
        <f t="shared" si="209"/>
        <v/>
      </c>
      <c r="PJ72" s="4" t="str">
        <f t="shared" si="210"/>
        <v/>
      </c>
      <c r="PK72" s="4" t="str">
        <f t="shared" si="211"/>
        <v/>
      </c>
      <c r="PL72" s="4" t="str">
        <f t="shared" si="212"/>
        <v/>
      </c>
      <c r="PM72" s="4" t="str">
        <f t="shared" si="213"/>
        <v/>
      </c>
      <c r="PN72" s="4" t="str">
        <f t="shared" si="214"/>
        <v/>
      </c>
      <c r="PO72" s="4" t="str">
        <f t="shared" si="215"/>
        <v/>
      </c>
      <c r="PP72" s="4" t="str">
        <f t="shared" si="216"/>
        <v/>
      </c>
      <c r="PQ72" s="4" t="str">
        <f t="shared" si="217"/>
        <v/>
      </c>
      <c r="PR72" s="4" t="str">
        <f t="shared" si="218"/>
        <v/>
      </c>
      <c r="PS72" s="4" t="str">
        <f t="shared" si="219"/>
        <v/>
      </c>
    </row>
    <row r="73">
      <c r="HI73" s="4" t="str">
        <f t="shared" si="2"/>
        <v/>
      </c>
      <c r="HJ73" s="4" t="str">
        <f t="shared" si="3"/>
        <v/>
      </c>
      <c r="HK73" s="4" t="str">
        <f t="shared" si="4"/>
        <v/>
      </c>
      <c r="HL73" s="4" t="str">
        <f t="shared" si="5"/>
        <v/>
      </c>
      <c r="HM73" s="4" t="str">
        <f t="shared" si="6"/>
        <v/>
      </c>
      <c r="HN73" s="4" t="str">
        <f t="shared" si="7"/>
        <v/>
      </c>
      <c r="HO73" s="4" t="str">
        <f t="shared" si="8"/>
        <v/>
      </c>
      <c r="HP73" s="4" t="str">
        <f t="shared" si="9"/>
        <v/>
      </c>
      <c r="HQ73" s="4" t="str">
        <f t="shared" si="10"/>
        <v/>
      </c>
      <c r="HR73" s="4" t="str">
        <f t="shared" si="11"/>
        <v/>
      </c>
      <c r="HS73" s="4" t="str">
        <f t="shared" si="12"/>
        <v/>
      </c>
      <c r="HT73" s="4" t="str">
        <f t="shared" si="13"/>
        <v/>
      </c>
      <c r="HU73" s="4" t="str">
        <f t="shared" si="14"/>
        <v/>
      </c>
      <c r="HV73" s="4" t="str">
        <f t="shared" si="15"/>
        <v/>
      </c>
      <c r="HW73" s="4" t="str">
        <f t="shared" si="16"/>
        <v/>
      </c>
      <c r="HX73" s="4" t="str">
        <f t="shared" si="17"/>
        <v/>
      </c>
      <c r="HY73" s="4" t="str">
        <f t="shared" si="18"/>
        <v/>
      </c>
      <c r="HZ73" s="4" t="str">
        <f t="shared" si="19"/>
        <v/>
      </c>
      <c r="IA73" s="4" t="str">
        <f t="shared" si="20"/>
        <v/>
      </c>
      <c r="IB73" s="4" t="str">
        <f t="shared" si="21"/>
        <v/>
      </c>
      <c r="IC73" s="4" t="str">
        <f t="shared" si="22"/>
        <v/>
      </c>
      <c r="ID73" s="4" t="str">
        <f t="shared" si="23"/>
        <v/>
      </c>
      <c r="IE73" s="4" t="str">
        <f t="shared" si="24"/>
        <v/>
      </c>
      <c r="IF73" s="4" t="str">
        <f t="shared" si="25"/>
        <v/>
      </c>
      <c r="IG73" s="4" t="str">
        <f t="shared" si="26"/>
        <v/>
      </c>
      <c r="IH73" s="4" t="str">
        <f t="shared" si="27"/>
        <v/>
      </c>
      <c r="II73" s="4" t="str">
        <f t="shared" si="28"/>
        <v/>
      </c>
      <c r="IJ73" s="4" t="str">
        <f t="shared" si="29"/>
        <v/>
      </c>
      <c r="IK73" s="4" t="str">
        <f t="shared" si="30"/>
        <v/>
      </c>
      <c r="IL73" s="4" t="str">
        <f t="shared" si="31"/>
        <v/>
      </c>
      <c r="IM73" s="4" t="str">
        <f t="shared" si="32"/>
        <v/>
      </c>
      <c r="IN73" s="4" t="str">
        <f t="shared" si="33"/>
        <v/>
      </c>
      <c r="IO73" s="4" t="str">
        <f t="shared" si="34"/>
        <v/>
      </c>
      <c r="IP73" s="4" t="str">
        <f t="shared" si="35"/>
        <v/>
      </c>
      <c r="IQ73" s="4" t="str">
        <f t="shared" si="36"/>
        <v/>
      </c>
      <c r="IR73" s="4" t="str">
        <f t="shared" si="37"/>
        <v/>
      </c>
      <c r="IS73" s="4" t="str">
        <f t="shared" si="38"/>
        <v/>
      </c>
      <c r="IT73" s="4" t="str">
        <f t="shared" si="39"/>
        <v/>
      </c>
      <c r="IU73" s="4" t="str">
        <f t="shared" si="40"/>
        <v/>
      </c>
      <c r="IV73" s="4" t="str">
        <f t="shared" si="41"/>
        <v/>
      </c>
      <c r="IW73" s="4" t="str">
        <f t="shared" si="42"/>
        <v/>
      </c>
      <c r="IX73" s="4" t="str">
        <f t="shared" si="43"/>
        <v/>
      </c>
      <c r="IY73" s="4" t="str">
        <f t="shared" si="44"/>
        <v/>
      </c>
      <c r="IZ73" s="4" t="str">
        <f t="shared" si="45"/>
        <v/>
      </c>
      <c r="JA73" s="4" t="str">
        <f t="shared" ref="JA73:JB73" si="289">if(ISERROR(SEARCH("Higher Education",BB73)),"","810")</f>
        <v/>
      </c>
      <c r="JB73" s="4" t="str">
        <f t="shared" si="289"/>
        <v/>
      </c>
      <c r="JC73" s="4" t="str">
        <f t="shared" si="47"/>
        <v/>
      </c>
      <c r="JD73" s="4" t="str">
        <f t="shared" si="48"/>
        <v/>
      </c>
      <c r="JE73" s="4" t="str">
        <f t="shared" si="49"/>
        <v/>
      </c>
      <c r="JF73" s="4" t="str">
        <f t="shared" si="50"/>
        <v/>
      </c>
      <c r="JG73" s="4" t="str">
        <f t="shared" si="51"/>
        <v/>
      </c>
      <c r="JH73" s="4" t="str">
        <f t="shared" si="52"/>
        <v/>
      </c>
      <c r="JI73" s="4" t="str">
        <f t="shared" si="53"/>
        <v/>
      </c>
      <c r="JJ73" s="4" t="str">
        <f t="shared" si="54"/>
        <v/>
      </c>
      <c r="JK73" s="4" t="str">
        <f t="shared" si="55"/>
        <v/>
      </c>
      <c r="JL73" s="4" t="str">
        <f t="shared" si="56"/>
        <v/>
      </c>
      <c r="JM73" s="4" t="str">
        <f t="shared" si="57"/>
        <v/>
      </c>
      <c r="JN73" s="4" t="str">
        <f t="shared" si="58"/>
        <v/>
      </c>
      <c r="JO73" s="4" t="str">
        <f t="shared" si="59"/>
        <v/>
      </c>
      <c r="JP73" s="4" t="str">
        <f t="shared" si="60"/>
        <v/>
      </c>
      <c r="JQ73" s="4" t="str">
        <f t="shared" si="61"/>
        <v/>
      </c>
      <c r="JR73" s="4" t="str">
        <f t="shared" si="62"/>
        <v/>
      </c>
      <c r="JS73" s="4" t="str">
        <f t="shared" si="63"/>
        <v/>
      </c>
      <c r="JT73" s="4" t="str">
        <f t="shared" si="64"/>
        <v/>
      </c>
      <c r="JU73" s="4" t="str">
        <f t="shared" si="65"/>
        <v/>
      </c>
      <c r="JV73" s="4" t="str">
        <f t="shared" si="66"/>
        <v/>
      </c>
      <c r="JW73" s="4" t="str">
        <f t="shared" si="67"/>
        <v/>
      </c>
      <c r="JX73" s="4" t="str">
        <f t="shared" si="68"/>
        <v/>
      </c>
      <c r="JY73" s="4" t="str">
        <f t="shared" si="69"/>
        <v/>
      </c>
      <c r="JZ73" s="4" t="str">
        <f t="shared" si="70"/>
        <v/>
      </c>
      <c r="KA73" s="4" t="str">
        <f t="shared" si="71"/>
        <v/>
      </c>
      <c r="KB73" s="4" t="str">
        <f t="shared" si="72"/>
        <v/>
      </c>
      <c r="KC73" s="4" t="str">
        <f t="shared" si="73"/>
        <v/>
      </c>
      <c r="KD73" s="4" t="str">
        <f t="shared" si="74"/>
        <v/>
      </c>
      <c r="KE73" s="4" t="str">
        <f t="shared" si="75"/>
        <v/>
      </c>
      <c r="KF73" s="4" t="str">
        <f t="shared" si="76"/>
        <v/>
      </c>
      <c r="KG73" s="4" t="str">
        <f t="shared" si="77"/>
        <v/>
      </c>
      <c r="KH73" s="4" t="str">
        <f t="shared" si="78"/>
        <v/>
      </c>
      <c r="KI73" s="4" t="str">
        <f t="shared" si="79"/>
        <v/>
      </c>
      <c r="KJ73" s="4" t="str">
        <f t="shared" si="80"/>
        <v/>
      </c>
      <c r="KK73" s="4" t="str">
        <f t="shared" si="81"/>
        <v/>
      </c>
      <c r="KL73" s="4" t="str">
        <f t="shared" si="82"/>
        <v/>
      </c>
      <c r="KM73" s="4" t="str">
        <f t="shared" si="83"/>
        <v/>
      </c>
      <c r="KN73" s="4" t="str">
        <f t="shared" si="84"/>
        <v/>
      </c>
      <c r="KO73" s="4" t="str">
        <f t="shared" si="85"/>
        <v/>
      </c>
      <c r="KP73" s="4" t="str">
        <f t="shared" si="86"/>
        <v/>
      </c>
      <c r="KQ73" s="4" t="str">
        <f t="shared" si="87"/>
        <v/>
      </c>
      <c r="KR73" s="4" t="str">
        <f t="shared" si="88"/>
        <v/>
      </c>
      <c r="KS73" s="4" t="str">
        <f t="shared" si="89"/>
        <v/>
      </c>
      <c r="KT73" s="4" t="str">
        <f t="shared" si="90"/>
        <v/>
      </c>
      <c r="KU73" s="4" t="str">
        <f t="shared" si="91"/>
        <v/>
      </c>
      <c r="KV73" s="4" t="str">
        <f t="shared" si="92"/>
        <v/>
      </c>
      <c r="KW73" s="4" t="str">
        <f t="shared" si="93"/>
        <v/>
      </c>
      <c r="KX73" s="4" t="str">
        <f t="shared" si="94"/>
        <v/>
      </c>
      <c r="KY73" s="4" t="str">
        <f t="shared" si="95"/>
        <v/>
      </c>
      <c r="KZ73" s="4" t="str">
        <f t="shared" si="96"/>
        <v/>
      </c>
      <c r="LA73" s="4" t="str">
        <f t="shared" si="97"/>
        <v/>
      </c>
      <c r="LB73" s="4" t="str">
        <f t="shared" si="98"/>
        <v/>
      </c>
      <c r="LC73" s="4" t="str">
        <f t="shared" si="99"/>
        <v/>
      </c>
      <c r="LD73" s="4" t="str">
        <f t="shared" si="100"/>
        <v/>
      </c>
      <c r="LE73" s="4" t="str">
        <f t="shared" si="101"/>
        <v/>
      </c>
      <c r="LF73" s="4" t="str">
        <f t="shared" si="102"/>
        <v/>
      </c>
      <c r="LG73" s="4" t="str">
        <f t="shared" si="103"/>
        <v/>
      </c>
      <c r="LH73" s="4" t="str">
        <f t="shared" si="104"/>
        <v/>
      </c>
      <c r="LI73" s="4" t="str">
        <f t="shared" si="105"/>
        <v/>
      </c>
      <c r="LJ73" s="4" t="str">
        <f t="shared" si="106"/>
        <v/>
      </c>
      <c r="LK73" s="4" t="str">
        <f t="shared" si="107"/>
        <v/>
      </c>
      <c r="LL73" s="4" t="str">
        <f t="shared" si="108"/>
        <v/>
      </c>
      <c r="LM73" s="4" t="str">
        <f t="shared" si="109"/>
        <v/>
      </c>
      <c r="LN73" s="4" t="str">
        <f t="shared" si="110"/>
        <v/>
      </c>
      <c r="LO73" s="4" t="str">
        <f t="shared" si="111"/>
        <v/>
      </c>
      <c r="LP73" s="4" t="str">
        <f t="shared" si="112"/>
        <v/>
      </c>
      <c r="LQ73" s="4" t="str">
        <f t="shared" si="113"/>
        <v/>
      </c>
      <c r="LR73" s="4" t="str">
        <f t="shared" si="114"/>
        <v/>
      </c>
      <c r="LS73" s="4" t="str">
        <f t="shared" si="115"/>
        <v/>
      </c>
      <c r="LT73" s="4" t="str">
        <f t="shared" si="116"/>
        <v/>
      </c>
      <c r="LU73" s="4" t="str">
        <f t="shared" si="117"/>
        <v/>
      </c>
      <c r="LV73" s="4" t="str">
        <f t="shared" si="118"/>
        <v/>
      </c>
      <c r="LW73" s="4" t="str">
        <f t="shared" si="119"/>
        <v/>
      </c>
      <c r="LX73" s="4" t="str">
        <f t="shared" si="120"/>
        <v/>
      </c>
      <c r="LY73" s="4" t="str">
        <f t="shared" si="121"/>
        <v/>
      </c>
      <c r="LZ73" s="4" t="str">
        <f t="shared" si="122"/>
        <v/>
      </c>
      <c r="MA73" s="4" t="str">
        <f t="shared" si="123"/>
        <v/>
      </c>
      <c r="MB73" s="4" t="str">
        <f t="shared" si="124"/>
        <v/>
      </c>
      <c r="MC73" s="4" t="str">
        <f t="shared" si="125"/>
        <v/>
      </c>
      <c r="MD73" s="4" t="str">
        <f t="shared" si="126"/>
        <v/>
      </c>
      <c r="ME73" s="4" t="str">
        <f t="shared" si="127"/>
        <v/>
      </c>
      <c r="MF73" s="4" t="str">
        <f t="shared" si="128"/>
        <v/>
      </c>
      <c r="MG73" s="4" t="str">
        <f t="shared" si="129"/>
        <v/>
      </c>
      <c r="MH73" s="4" t="str">
        <f t="shared" si="130"/>
        <v/>
      </c>
      <c r="MI73" s="4" t="str">
        <f t="shared" si="131"/>
        <v/>
      </c>
      <c r="MJ73" s="4" t="str">
        <f t="shared" si="132"/>
        <v/>
      </c>
      <c r="MK73" s="4" t="str">
        <f t="shared" si="133"/>
        <v/>
      </c>
      <c r="ML73" s="4" t="str">
        <f t="shared" si="134"/>
        <v/>
      </c>
      <c r="MM73" s="4" t="str">
        <f t="shared" si="135"/>
        <v/>
      </c>
      <c r="MN73" s="4" t="str">
        <f t="shared" si="136"/>
        <v/>
      </c>
      <c r="MO73" s="4" t="str">
        <f t="shared" si="137"/>
        <v/>
      </c>
      <c r="MP73" s="4" t="str">
        <f t="shared" si="138"/>
        <v/>
      </c>
      <c r="MQ73" s="4" t="str">
        <f t="shared" si="139"/>
        <v/>
      </c>
      <c r="MR73" s="4" t="str">
        <f t="shared" si="140"/>
        <v/>
      </c>
      <c r="MS73" s="4" t="str">
        <f t="shared" si="141"/>
        <v/>
      </c>
      <c r="MT73" s="4" t="str">
        <f t="shared" si="142"/>
        <v/>
      </c>
      <c r="MU73" s="4" t="str">
        <f t="shared" si="143"/>
        <v/>
      </c>
      <c r="MV73" s="4" t="str">
        <f t="shared" si="144"/>
        <v/>
      </c>
      <c r="MW73" s="4" t="str">
        <f t="shared" si="145"/>
        <v/>
      </c>
      <c r="MX73" s="4" t="str">
        <f t="shared" si="146"/>
        <v/>
      </c>
      <c r="MY73" s="4" t="str">
        <f t="shared" si="147"/>
        <v/>
      </c>
      <c r="MZ73" s="4" t="str">
        <f t="shared" si="148"/>
        <v/>
      </c>
      <c r="NA73" s="4" t="str">
        <f t="shared" si="149"/>
        <v/>
      </c>
      <c r="NB73" s="4" t="str">
        <f t="shared" si="150"/>
        <v/>
      </c>
      <c r="NC73" s="4" t="str">
        <f t="shared" si="151"/>
        <v/>
      </c>
      <c r="ND73" s="4" t="str">
        <f t="shared" si="152"/>
        <v/>
      </c>
      <c r="NE73" s="4" t="str">
        <f t="shared" si="153"/>
        <v/>
      </c>
      <c r="NF73" s="4" t="str">
        <f t="shared" si="154"/>
        <v/>
      </c>
      <c r="NG73" s="4" t="str">
        <f t="shared" si="155"/>
        <v/>
      </c>
      <c r="NH73" s="4" t="str">
        <f t="shared" si="156"/>
        <v/>
      </c>
      <c r="NI73" s="4" t="str">
        <f t="shared" si="157"/>
        <v/>
      </c>
      <c r="NJ73" s="4" t="str">
        <f t="shared" si="158"/>
        <v/>
      </c>
      <c r="NK73" s="4" t="str">
        <f t="shared" si="159"/>
        <v/>
      </c>
      <c r="NL73" s="4" t="str">
        <f t="shared" si="160"/>
        <v/>
      </c>
      <c r="NM73" s="4" t="str">
        <f t="shared" si="161"/>
        <v/>
      </c>
      <c r="NN73" s="4" t="str">
        <f t="shared" si="162"/>
        <v/>
      </c>
      <c r="NO73" s="4" t="str">
        <f t="shared" si="163"/>
        <v/>
      </c>
      <c r="NP73" s="4" t="str">
        <f t="shared" si="164"/>
        <v/>
      </c>
      <c r="NQ73" s="4" t="str">
        <f t="shared" si="165"/>
        <v/>
      </c>
      <c r="NR73" s="4" t="str">
        <f t="shared" si="166"/>
        <v/>
      </c>
      <c r="NS73" s="4" t="str">
        <f t="shared" si="167"/>
        <v/>
      </c>
      <c r="NT73" s="4" t="str">
        <f t="shared" si="168"/>
        <v/>
      </c>
      <c r="NU73" s="4" t="str">
        <f t="shared" si="169"/>
        <v/>
      </c>
      <c r="NV73" s="4" t="str">
        <f t="shared" si="170"/>
        <v/>
      </c>
      <c r="NW73" s="4" t="str">
        <f t="shared" si="171"/>
        <v/>
      </c>
      <c r="NX73" s="4" t="str">
        <f t="shared" si="172"/>
        <v/>
      </c>
      <c r="NY73" s="4" t="str">
        <f t="shared" si="173"/>
        <v/>
      </c>
      <c r="NZ73" s="4" t="str">
        <f t="shared" si="174"/>
        <v/>
      </c>
      <c r="OA73" s="4" t="str">
        <f t="shared" si="175"/>
        <v/>
      </c>
      <c r="OB73" s="4" t="str">
        <f t="shared" si="176"/>
        <v/>
      </c>
      <c r="OC73" s="4" t="str">
        <f t="shared" si="177"/>
        <v/>
      </c>
      <c r="OD73" s="4" t="str">
        <f t="shared" si="178"/>
        <v/>
      </c>
      <c r="OE73" s="4" t="str">
        <f t="shared" si="179"/>
        <v/>
      </c>
      <c r="OF73" s="4" t="str">
        <f t="shared" si="180"/>
        <v/>
      </c>
      <c r="OG73" s="4" t="str">
        <f t="shared" si="181"/>
        <v/>
      </c>
      <c r="OH73" s="4" t="str">
        <f t="shared" si="182"/>
        <v/>
      </c>
      <c r="OI73" s="4" t="str">
        <f t="shared" si="183"/>
        <v/>
      </c>
      <c r="OJ73" s="4" t="str">
        <f t="shared" si="184"/>
        <v/>
      </c>
      <c r="OK73" s="4" t="str">
        <f t="shared" si="185"/>
        <v/>
      </c>
      <c r="OL73" s="4" t="str">
        <f t="shared" si="186"/>
        <v/>
      </c>
      <c r="OM73" s="4" t="str">
        <f t="shared" si="187"/>
        <v/>
      </c>
      <c r="ON73" s="4" t="str">
        <f t="shared" si="188"/>
        <v/>
      </c>
      <c r="OO73" s="4" t="str">
        <f t="shared" si="189"/>
        <v/>
      </c>
      <c r="OP73" s="4" t="str">
        <f t="shared" si="190"/>
        <v/>
      </c>
      <c r="OQ73" s="4" t="str">
        <f t="shared" si="191"/>
        <v/>
      </c>
      <c r="OR73" s="4" t="str">
        <f t="shared" si="192"/>
        <v/>
      </c>
      <c r="OS73" s="4" t="str">
        <f t="shared" si="193"/>
        <v/>
      </c>
      <c r="OT73" s="4" t="str">
        <f t="shared" si="194"/>
        <v/>
      </c>
      <c r="OU73" s="4" t="str">
        <f t="shared" si="195"/>
        <v/>
      </c>
      <c r="OV73" s="4" t="str">
        <f t="shared" si="196"/>
        <v/>
      </c>
      <c r="OW73" s="4" t="str">
        <f t="shared" si="197"/>
        <v/>
      </c>
      <c r="OX73" s="4" t="str">
        <f t="shared" si="198"/>
        <v/>
      </c>
      <c r="OY73" s="4" t="str">
        <f t="shared" si="199"/>
        <v/>
      </c>
      <c r="OZ73" s="4" t="str">
        <f t="shared" si="200"/>
        <v/>
      </c>
      <c r="PA73" s="4" t="str">
        <f t="shared" si="201"/>
        <v/>
      </c>
      <c r="PB73" s="4" t="str">
        <f t="shared" si="202"/>
        <v/>
      </c>
      <c r="PC73" s="4" t="str">
        <f t="shared" si="203"/>
        <v/>
      </c>
      <c r="PD73" s="4" t="str">
        <f t="shared" si="204"/>
        <v/>
      </c>
      <c r="PE73" s="4" t="str">
        <f t="shared" si="205"/>
        <v/>
      </c>
      <c r="PF73" s="4" t="str">
        <f t="shared" si="206"/>
        <v/>
      </c>
      <c r="PG73" s="4" t="str">
        <f t="shared" si="207"/>
        <v/>
      </c>
      <c r="PH73" s="4" t="str">
        <f t="shared" si="208"/>
        <v/>
      </c>
      <c r="PI73" s="4" t="str">
        <f t="shared" si="209"/>
        <v/>
      </c>
      <c r="PJ73" s="4" t="str">
        <f t="shared" si="210"/>
        <v/>
      </c>
      <c r="PK73" s="4" t="str">
        <f t="shared" si="211"/>
        <v/>
      </c>
      <c r="PL73" s="4" t="str">
        <f t="shared" si="212"/>
        <v/>
      </c>
      <c r="PM73" s="4" t="str">
        <f t="shared" si="213"/>
        <v/>
      </c>
      <c r="PN73" s="4" t="str">
        <f t="shared" si="214"/>
        <v/>
      </c>
      <c r="PO73" s="4" t="str">
        <f t="shared" si="215"/>
        <v/>
      </c>
      <c r="PP73" s="4" t="str">
        <f t="shared" si="216"/>
        <v/>
      </c>
      <c r="PQ73" s="4" t="str">
        <f t="shared" si="217"/>
        <v/>
      </c>
      <c r="PR73" s="4" t="str">
        <f t="shared" si="218"/>
        <v/>
      </c>
      <c r="PS73" s="4" t="str">
        <f t="shared" si="219"/>
        <v/>
      </c>
    </row>
    <row r="74">
      <c r="HI74" s="4" t="str">
        <f t="shared" si="2"/>
        <v/>
      </c>
      <c r="HJ74" s="4" t="str">
        <f t="shared" si="3"/>
        <v/>
      </c>
      <c r="HK74" s="4" t="str">
        <f t="shared" si="4"/>
        <v/>
      </c>
      <c r="HL74" s="4" t="str">
        <f t="shared" si="5"/>
        <v/>
      </c>
      <c r="HM74" s="4" t="str">
        <f t="shared" si="6"/>
        <v/>
      </c>
      <c r="HN74" s="4" t="str">
        <f t="shared" si="7"/>
        <v/>
      </c>
      <c r="HO74" s="4" t="str">
        <f t="shared" si="8"/>
        <v/>
      </c>
      <c r="HP74" s="4" t="str">
        <f t="shared" si="9"/>
        <v/>
      </c>
      <c r="HQ74" s="4" t="str">
        <f t="shared" si="10"/>
        <v/>
      </c>
      <c r="HR74" s="4" t="str">
        <f t="shared" si="11"/>
        <v/>
      </c>
      <c r="HS74" s="4" t="str">
        <f t="shared" si="12"/>
        <v/>
      </c>
      <c r="HT74" s="4" t="str">
        <f t="shared" si="13"/>
        <v/>
      </c>
      <c r="HU74" s="4" t="str">
        <f t="shared" si="14"/>
        <v/>
      </c>
      <c r="HV74" s="4" t="str">
        <f t="shared" si="15"/>
        <v/>
      </c>
      <c r="HW74" s="4" t="str">
        <f t="shared" si="16"/>
        <v/>
      </c>
      <c r="HX74" s="4" t="str">
        <f t="shared" si="17"/>
        <v/>
      </c>
      <c r="HY74" s="4" t="str">
        <f t="shared" si="18"/>
        <v/>
      </c>
      <c r="HZ74" s="4" t="str">
        <f t="shared" si="19"/>
        <v/>
      </c>
      <c r="IA74" s="4" t="str">
        <f t="shared" si="20"/>
        <v/>
      </c>
      <c r="IB74" s="4" t="str">
        <f t="shared" si="21"/>
        <v/>
      </c>
      <c r="IC74" s="4" t="str">
        <f t="shared" si="22"/>
        <v/>
      </c>
      <c r="ID74" s="4" t="str">
        <f t="shared" si="23"/>
        <v/>
      </c>
      <c r="IE74" s="4" t="str">
        <f t="shared" si="24"/>
        <v/>
      </c>
      <c r="IF74" s="4" t="str">
        <f t="shared" si="25"/>
        <v/>
      </c>
      <c r="IG74" s="4" t="str">
        <f t="shared" si="26"/>
        <v/>
      </c>
      <c r="IH74" s="4" t="str">
        <f t="shared" si="27"/>
        <v/>
      </c>
      <c r="II74" s="4" t="str">
        <f t="shared" si="28"/>
        <v/>
      </c>
      <c r="IJ74" s="4" t="str">
        <f t="shared" si="29"/>
        <v/>
      </c>
      <c r="IK74" s="4" t="str">
        <f t="shared" si="30"/>
        <v/>
      </c>
      <c r="IL74" s="4" t="str">
        <f t="shared" si="31"/>
        <v/>
      </c>
      <c r="IM74" s="4" t="str">
        <f t="shared" si="32"/>
        <v/>
      </c>
      <c r="IN74" s="4" t="str">
        <f t="shared" si="33"/>
        <v/>
      </c>
      <c r="IO74" s="4" t="str">
        <f t="shared" si="34"/>
        <v/>
      </c>
      <c r="IP74" s="4" t="str">
        <f t="shared" si="35"/>
        <v/>
      </c>
      <c r="IQ74" s="4" t="str">
        <f t="shared" si="36"/>
        <v/>
      </c>
      <c r="IR74" s="4" t="str">
        <f t="shared" si="37"/>
        <v/>
      </c>
      <c r="IS74" s="4" t="str">
        <f t="shared" si="38"/>
        <v/>
      </c>
      <c r="IT74" s="4" t="str">
        <f t="shared" si="39"/>
        <v/>
      </c>
      <c r="IU74" s="4" t="str">
        <f t="shared" si="40"/>
        <v/>
      </c>
      <c r="IV74" s="4" t="str">
        <f t="shared" si="41"/>
        <v/>
      </c>
      <c r="IW74" s="4" t="str">
        <f t="shared" si="42"/>
        <v/>
      </c>
      <c r="IX74" s="4" t="str">
        <f t="shared" si="43"/>
        <v/>
      </c>
      <c r="IY74" s="4" t="str">
        <f t="shared" si="44"/>
        <v/>
      </c>
      <c r="IZ74" s="4" t="str">
        <f t="shared" si="45"/>
        <v/>
      </c>
      <c r="JA74" s="4" t="str">
        <f t="shared" ref="JA74:JB74" si="290">if(ISERROR(SEARCH("Higher Education",BB74)),"","810")</f>
        <v/>
      </c>
      <c r="JB74" s="4" t="str">
        <f t="shared" si="290"/>
        <v/>
      </c>
      <c r="JC74" s="4" t="str">
        <f t="shared" si="47"/>
        <v/>
      </c>
      <c r="JD74" s="4" t="str">
        <f t="shared" si="48"/>
        <v/>
      </c>
      <c r="JE74" s="4" t="str">
        <f t="shared" si="49"/>
        <v/>
      </c>
      <c r="JF74" s="4" t="str">
        <f t="shared" si="50"/>
        <v/>
      </c>
      <c r="JG74" s="4" t="str">
        <f t="shared" si="51"/>
        <v/>
      </c>
      <c r="JH74" s="4" t="str">
        <f t="shared" si="52"/>
        <v/>
      </c>
      <c r="JI74" s="4" t="str">
        <f t="shared" si="53"/>
        <v/>
      </c>
      <c r="JJ74" s="4" t="str">
        <f t="shared" si="54"/>
        <v/>
      </c>
      <c r="JK74" s="4" t="str">
        <f t="shared" si="55"/>
        <v/>
      </c>
      <c r="JL74" s="4" t="str">
        <f t="shared" si="56"/>
        <v/>
      </c>
      <c r="JM74" s="4" t="str">
        <f t="shared" si="57"/>
        <v/>
      </c>
      <c r="JN74" s="4" t="str">
        <f t="shared" si="58"/>
        <v/>
      </c>
      <c r="JO74" s="4" t="str">
        <f t="shared" si="59"/>
        <v/>
      </c>
      <c r="JP74" s="4" t="str">
        <f t="shared" si="60"/>
        <v/>
      </c>
      <c r="JQ74" s="4" t="str">
        <f t="shared" si="61"/>
        <v/>
      </c>
      <c r="JR74" s="4" t="str">
        <f t="shared" si="62"/>
        <v/>
      </c>
      <c r="JS74" s="4" t="str">
        <f t="shared" si="63"/>
        <v/>
      </c>
      <c r="JT74" s="4" t="str">
        <f t="shared" si="64"/>
        <v/>
      </c>
      <c r="JU74" s="4" t="str">
        <f t="shared" si="65"/>
        <v/>
      </c>
      <c r="JV74" s="4" t="str">
        <f t="shared" si="66"/>
        <v/>
      </c>
      <c r="JW74" s="4" t="str">
        <f t="shared" si="67"/>
        <v/>
      </c>
      <c r="JX74" s="4" t="str">
        <f t="shared" si="68"/>
        <v/>
      </c>
      <c r="JY74" s="4" t="str">
        <f t="shared" si="69"/>
        <v/>
      </c>
      <c r="JZ74" s="4" t="str">
        <f t="shared" si="70"/>
        <v/>
      </c>
      <c r="KA74" s="4" t="str">
        <f t="shared" si="71"/>
        <v/>
      </c>
      <c r="KB74" s="4" t="str">
        <f t="shared" si="72"/>
        <v/>
      </c>
      <c r="KC74" s="4" t="str">
        <f t="shared" si="73"/>
        <v/>
      </c>
      <c r="KD74" s="4" t="str">
        <f t="shared" si="74"/>
        <v/>
      </c>
      <c r="KE74" s="4" t="str">
        <f t="shared" si="75"/>
        <v/>
      </c>
      <c r="KF74" s="4" t="str">
        <f t="shared" si="76"/>
        <v/>
      </c>
      <c r="KG74" s="4" t="str">
        <f t="shared" si="77"/>
        <v/>
      </c>
      <c r="KH74" s="4" t="str">
        <f t="shared" si="78"/>
        <v/>
      </c>
      <c r="KI74" s="4" t="str">
        <f t="shared" si="79"/>
        <v/>
      </c>
      <c r="KJ74" s="4" t="str">
        <f t="shared" si="80"/>
        <v/>
      </c>
      <c r="KK74" s="4" t="str">
        <f t="shared" si="81"/>
        <v/>
      </c>
      <c r="KL74" s="4" t="str">
        <f t="shared" si="82"/>
        <v/>
      </c>
      <c r="KM74" s="4" t="str">
        <f t="shared" si="83"/>
        <v/>
      </c>
      <c r="KN74" s="4" t="str">
        <f t="shared" si="84"/>
        <v/>
      </c>
      <c r="KO74" s="4" t="str">
        <f t="shared" si="85"/>
        <v/>
      </c>
      <c r="KP74" s="4" t="str">
        <f t="shared" si="86"/>
        <v/>
      </c>
      <c r="KQ74" s="4" t="str">
        <f t="shared" si="87"/>
        <v/>
      </c>
      <c r="KR74" s="4" t="str">
        <f t="shared" si="88"/>
        <v/>
      </c>
      <c r="KS74" s="4" t="str">
        <f t="shared" si="89"/>
        <v/>
      </c>
      <c r="KT74" s="4" t="str">
        <f t="shared" si="90"/>
        <v/>
      </c>
      <c r="KU74" s="4" t="str">
        <f t="shared" si="91"/>
        <v/>
      </c>
      <c r="KV74" s="4" t="str">
        <f t="shared" si="92"/>
        <v/>
      </c>
      <c r="KW74" s="4" t="str">
        <f t="shared" si="93"/>
        <v/>
      </c>
      <c r="KX74" s="4" t="str">
        <f t="shared" si="94"/>
        <v/>
      </c>
      <c r="KY74" s="4" t="str">
        <f t="shared" si="95"/>
        <v/>
      </c>
      <c r="KZ74" s="4" t="str">
        <f t="shared" si="96"/>
        <v/>
      </c>
      <c r="LA74" s="4" t="str">
        <f t="shared" si="97"/>
        <v/>
      </c>
      <c r="LB74" s="4" t="str">
        <f t="shared" si="98"/>
        <v/>
      </c>
      <c r="LC74" s="4" t="str">
        <f t="shared" si="99"/>
        <v/>
      </c>
      <c r="LD74" s="4" t="str">
        <f t="shared" si="100"/>
        <v/>
      </c>
      <c r="LE74" s="4" t="str">
        <f t="shared" si="101"/>
        <v/>
      </c>
      <c r="LF74" s="4" t="str">
        <f t="shared" si="102"/>
        <v/>
      </c>
      <c r="LG74" s="4" t="str">
        <f t="shared" si="103"/>
        <v/>
      </c>
      <c r="LH74" s="4" t="str">
        <f t="shared" si="104"/>
        <v/>
      </c>
      <c r="LI74" s="4" t="str">
        <f t="shared" si="105"/>
        <v/>
      </c>
      <c r="LJ74" s="4" t="str">
        <f t="shared" si="106"/>
        <v/>
      </c>
      <c r="LK74" s="4" t="str">
        <f t="shared" si="107"/>
        <v/>
      </c>
      <c r="LL74" s="4" t="str">
        <f t="shared" si="108"/>
        <v/>
      </c>
      <c r="LM74" s="4" t="str">
        <f t="shared" si="109"/>
        <v/>
      </c>
      <c r="LN74" s="4" t="str">
        <f t="shared" si="110"/>
        <v/>
      </c>
      <c r="LO74" s="4" t="str">
        <f t="shared" si="111"/>
        <v/>
      </c>
      <c r="LP74" s="4" t="str">
        <f t="shared" si="112"/>
        <v/>
      </c>
      <c r="LQ74" s="4" t="str">
        <f t="shared" si="113"/>
        <v/>
      </c>
      <c r="LR74" s="4" t="str">
        <f t="shared" si="114"/>
        <v/>
      </c>
      <c r="LS74" s="4" t="str">
        <f t="shared" si="115"/>
        <v/>
      </c>
      <c r="LT74" s="4" t="str">
        <f t="shared" si="116"/>
        <v/>
      </c>
      <c r="LU74" s="4" t="str">
        <f t="shared" si="117"/>
        <v/>
      </c>
      <c r="LV74" s="4" t="str">
        <f t="shared" si="118"/>
        <v/>
      </c>
      <c r="LW74" s="4" t="str">
        <f t="shared" si="119"/>
        <v/>
      </c>
      <c r="LX74" s="4" t="str">
        <f t="shared" si="120"/>
        <v/>
      </c>
      <c r="LY74" s="4" t="str">
        <f t="shared" si="121"/>
        <v/>
      </c>
      <c r="LZ74" s="4" t="str">
        <f t="shared" si="122"/>
        <v/>
      </c>
      <c r="MA74" s="4" t="str">
        <f t="shared" si="123"/>
        <v/>
      </c>
      <c r="MB74" s="4" t="str">
        <f t="shared" si="124"/>
        <v/>
      </c>
      <c r="MC74" s="4" t="str">
        <f t="shared" si="125"/>
        <v/>
      </c>
      <c r="MD74" s="4" t="str">
        <f t="shared" si="126"/>
        <v/>
      </c>
      <c r="ME74" s="4" t="str">
        <f t="shared" si="127"/>
        <v/>
      </c>
      <c r="MF74" s="4" t="str">
        <f t="shared" si="128"/>
        <v/>
      </c>
      <c r="MG74" s="4" t="str">
        <f t="shared" si="129"/>
        <v/>
      </c>
      <c r="MH74" s="4" t="str">
        <f t="shared" si="130"/>
        <v/>
      </c>
      <c r="MI74" s="4" t="str">
        <f t="shared" si="131"/>
        <v/>
      </c>
      <c r="MJ74" s="4" t="str">
        <f t="shared" si="132"/>
        <v/>
      </c>
      <c r="MK74" s="4" t="str">
        <f t="shared" si="133"/>
        <v/>
      </c>
      <c r="ML74" s="4" t="str">
        <f t="shared" si="134"/>
        <v/>
      </c>
      <c r="MM74" s="4" t="str">
        <f t="shared" si="135"/>
        <v/>
      </c>
      <c r="MN74" s="4" t="str">
        <f t="shared" si="136"/>
        <v/>
      </c>
      <c r="MO74" s="4" t="str">
        <f t="shared" si="137"/>
        <v/>
      </c>
      <c r="MP74" s="4" t="str">
        <f t="shared" si="138"/>
        <v/>
      </c>
      <c r="MQ74" s="4" t="str">
        <f t="shared" si="139"/>
        <v/>
      </c>
      <c r="MR74" s="4" t="str">
        <f t="shared" si="140"/>
        <v/>
      </c>
      <c r="MS74" s="4" t="str">
        <f t="shared" si="141"/>
        <v/>
      </c>
      <c r="MT74" s="4" t="str">
        <f t="shared" si="142"/>
        <v/>
      </c>
      <c r="MU74" s="4" t="str">
        <f t="shared" si="143"/>
        <v/>
      </c>
      <c r="MV74" s="4" t="str">
        <f t="shared" si="144"/>
        <v/>
      </c>
      <c r="MW74" s="4" t="str">
        <f t="shared" si="145"/>
        <v/>
      </c>
      <c r="MX74" s="4" t="str">
        <f t="shared" si="146"/>
        <v/>
      </c>
      <c r="MY74" s="4" t="str">
        <f t="shared" si="147"/>
        <v/>
      </c>
      <c r="MZ74" s="4" t="str">
        <f t="shared" si="148"/>
        <v/>
      </c>
      <c r="NA74" s="4" t="str">
        <f t="shared" si="149"/>
        <v/>
      </c>
      <c r="NB74" s="4" t="str">
        <f t="shared" si="150"/>
        <v/>
      </c>
      <c r="NC74" s="4" t="str">
        <f t="shared" si="151"/>
        <v/>
      </c>
      <c r="ND74" s="4" t="str">
        <f t="shared" si="152"/>
        <v/>
      </c>
      <c r="NE74" s="4" t="str">
        <f t="shared" si="153"/>
        <v/>
      </c>
      <c r="NF74" s="4" t="str">
        <f t="shared" si="154"/>
        <v/>
      </c>
      <c r="NG74" s="4" t="str">
        <f t="shared" si="155"/>
        <v/>
      </c>
      <c r="NH74" s="4" t="str">
        <f t="shared" si="156"/>
        <v/>
      </c>
      <c r="NI74" s="4" t="str">
        <f t="shared" si="157"/>
        <v/>
      </c>
      <c r="NJ74" s="4" t="str">
        <f t="shared" si="158"/>
        <v/>
      </c>
      <c r="NK74" s="4" t="str">
        <f t="shared" si="159"/>
        <v/>
      </c>
      <c r="NL74" s="4" t="str">
        <f t="shared" si="160"/>
        <v/>
      </c>
      <c r="NM74" s="4" t="str">
        <f t="shared" si="161"/>
        <v/>
      </c>
      <c r="NN74" s="4" t="str">
        <f t="shared" si="162"/>
        <v/>
      </c>
      <c r="NO74" s="4" t="str">
        <f t="shared" si="163"/>
        <v/>
      </c>
      <c r="NP74" s="4" t="str">
        <f t="shared" si="164"/>
        <v/>
      </c>
      <c r="NQ74" s="4" t="str">
        <f t="shared" si="165"/>
        <v/>
      </c>
      <c r="NR74" s="4" t="str">
        <f t="shared" si="166"/>
        <v/>
      </c>
      <c r="NS74" s="4" t="str">
        <f t="shared" si="167"/>
        <v/>
      </c>
      <c r="NT74" s="4" t="str">
        <f t="shared" si="168"/>
        <v/>
      </c>
      <c r="NU74" s="4" t="str">
        <f t="shared" si="169"/>
        <v/>
      </c>
      <c r="NV74" s="4" t="str">
        <f t="shared" si="170"/>
        <v/>
      </c>
      <c r="NW74" s="4" t="str">
        <f t="shared" si="171"/>
        <v/>
      </c>
      <c r="NX74" s="4" t="str">
        <f t="shared" si="172"/>
        <v/>
      </c>
      <c r="NY74" s="4" t="str">
        <f t="shared" si="173"/>
        <v/>
      </c>
      <c r="NZ74" s="4" t="str">
        <f t="shared" si="174"/>
        <v/>
      </c>
      <c r="OA74" s="4" t="str">
        <f t="shared" si="175"/>
        <v/>
      </c>
      <c r="OB74" s="4" t="str">
        <f t="shared" si="176"/>
        <v/>
      </c>
      <c r="OC74" s="4" t="str">
        <f t="shared" si="177"/>
        <v/>
      </c>
      <c r="OD74" s="4" t="str">
        <f t="shared" si="178"/>
        <v/>
      </c>
      <c r="OE74" s="4" t="str">
        <f t="shared" si="179"/>
        <v/>
      </c>
      <c r="OF74" s="4" t="str">
        <f t="shared" si="180"/>
        <v/>
      </c>
      <c r="OG74" s="4" t="str">
        <f t="shared" si="181"/>
        <v/>
      </c>
      <c r="OH74" s="4" t="str">
        <f t="shared" si="182"/>
        <v/>
      </c>
      <c r="OI74" s="4" t="str">
        <f t="shared" si="183"/>
        <v/>
      </c>
      <c r="OJ74" s="4" t="str">
        <f t="shared" si="184"/>
        <v/>
      </c>
      <c r="OK74" s="4" t="str">
        <f t="shared" si="185"/>
        <v/>
      </c>
      <c r="OL74" s="4" t="str">
        <f t="shared" si="186"/>
        <v/>
      </c>
      <c r="OM74" s="4" t="str">
        <f t="shared" si="187"/>
        <v/>
      </c>
      <c r="ON74" s="4" t="str">
        <f t="shared" si="188"/>
        <v/>
      </c>
      <c r="OO74" s="4" t="str">
        <f t="shared" si="189"/>
        <v/>
      </c>
      <c r="OP74" s="4" t="str">
        <f t="shared" si="190"/>
        <v/>
      </c>
      <c r="OQ74" s="4" t="str">
        <f t="shared" si="191"/>
        <v/>
      </c>
      <c r="OR74" s="4" t="str">
        <f t="shared" si="192"/>
        <v/>
      </c>
      <c r="OS74" s="4" t="str">
        <f t="shared" si="193"/>
        <v/>
      </c>
      <c r="OT74" s="4" t="str">
        <f t="shared" si="194"/>
        <v/>
      </c>
      <c r="OU74" s="4" t="str">
        <f t="shared" si="195"/>
        <v/>
      </c>
      <c r="OV74" s="4" t="str">
        <f t="shared" si="196"/>
        <v/>
      </c>
      <c r="OW74" s="4" t="str">
        <f t="shared" si="197"/>
        <v/>
      </c>
      <c r="OX74" s="4" t="str">
        <f t="shared" si="198"/>
        <v/>
      </c>
      <c r="OY74" s="4" t="str">
        <f t="shared" si="199"/>
        <v/>
      </c>
      <c r="OZ74" s="4" t="str">
        <f t="shared" si="200"/>
        <v/>
      </c>
      <c r="PA74" s="4" t="str">
        <f t="shared" si="201"/>
        <v/>
      </c>
      <c r="PB74" s="4" t="str">
        <f t="shared" si="202"/>
        <v/>
      </c>
      <c r="PC74" s="4" t="str">
        <f t="shared" si="203"/>
        <v/>
      </c>
      <c r="PD74" s="4" t="str">
        <f t="shared" si="204"/>
        <v/>
      </c>
      <c r="PE74" s="4" t="str">
        <f t="shared" si="205"/>
        <v/>
      </c>
      <c r="PF74" s="4" t="str">
        <f t="shared" si="206"/>
        <v/>
      </c>
      <c r="PG74" s="4" t="str">
        <f t="shared" si="207"/>
        <v/>
      </c>
      <c r="PH74" s="4" t="str">
        <f t="shared" si="208"/>
        <v/>
      </c>
      <c r="PI74" s="4" t="str">
        <f t="shared" si="209"/>
        <v/>
      </c>
      <c r="PJ74" s="4" t="str">
        <f t="shared" si="210"/>
        <v/>
      </c>
      <c r="PK74" s="4" t="str">
        <f t="shared" si="211"/>
        <v/>
      </c>
      <c r="PL74" s="4" t="str">
        <f t="shared" si="212"/>
        <v/>
      </c>
      <c r="PM74" s="4" t="str">
        <f t="shared" si="213"/>
        <v/>
      </c>
      <c r="PN74" s="4" t="str">
        <f t="shared" si="214"/>
        <v/>
      </c>
      <c r="PO74" s="4" t="str">
        <f t="shared" si="215"/>
        <v/>
      </c>
      <c r="PP74" s="4" t="str">
        <f t="shared" si="216"/>
        <v/>
      </c>
      <c r="PQ74" s="4" t="str">
        <f t="shared" si="217"/>
        <v/>
      </c>
      <c r="PR74" s="4" t="str">
        <f t="shared" si="218"/>
        <v/>
      </c>
      <c r="PS74" s="4" t="str">
        <f t="shared" si="219"/>
        <v/>
      </c>
    </row>
    <row r="75">
      <c r="HI75" s="4" t="str">
        <f t="shared" si="2"/>
        <v/>
      </c>
      <c r="HJ75" s="4" t="str">
        <f t="shared" si="3"/>
        <v/>
      </c>
      <c r="HK75" s="4" t="str">
        <f t="shared" si="4"/>
        <v/>
      </c>
      <c r="HL75" s="4" t="str">
        <f t="shared" si="5"/>
        <v/>
      </c>
      <c r="HM75" s="4" t="str">
        <f t="shared" si="6"/>
        <v/>
      </c>
      <c r="HN75" s="4" t="str">
        <f t="shared" si="7"/>
        <v/>
      </c>
      <c r="HO75" s="4" t="str">
        <f t="shared" si="8"/>
        <v/>
      </c>
      <c r="HP75" s="4" t="str">
        <f t="shared" si="9"/>
        <v/>
      </c>
      <c r="HQ75" s="4" t="str">
        <f t="shared" si="10"/>
        <v/>
      </c>
      <c r="HR75" s="4" t="str">
        <f t="shared" si="11"/>
        <v/>
      </c>
      <c r="HS75" s="4" t="str">
        <f t="shared" si="12"/>
        <v/>
      </c>
      <c r="HT75" s="4" t="str">
        <f t="shared" si="13"/>
        <v/>
      </c>
      <c r="HU75" s="4" t="str">
        <f t="shared" si="14"/>
        <v/>
      </c>
      <c r="HV75" s="4" t="str">
        <f t="shared" si="15"/>
        <v/>
      </c>
      <c r="HW75" s="4" t="str">
        <f t="shared" si="16"/>
        <v/>
      </c>
      <c r="HX75" s="4" t="str">
        <f t="shared" si="17"/>
        <v/>
      </c>
      <c r="HY75" s="4" t="str">
        <f t="shared" si="18"/>
        <v/>
      </c>
      <c r="HZ75" s="4" t="str">
        <f t="shared" si="19"/>
        <v/>
      </c>
      <c r="IA75" s="4" t="str">
        <f t="shared" si="20"/>
        <v/>
      </c>
      <c r="IB75" s="4" t="str">
        <f t="shared" si="21"/>
        <v/>
      </c>
      <c r="IC75" s="4" t="str">
        <f t="shared" si="22"/>
        <v/>
      </c>
      <c r="ID75" s="4" t="str">
        <f t="shared" si="23"/>
        <v/>
      </c>
      <c r="IE75" s="4" t="str">
        <f t="shared" si="24"/>
        <v/>
      </c>
      <c r="IF75" s="4" t="str">
        <f t="shared" si="25"/>
        <v/>
      </c>
      <c r="IG75" s="4" t="str">
        <f t="shared" si="26"/>
        <v/>
      </c>
      <c r="IH75" s="4" t="str">
        <f t="shared" si="27"/>
        <v/>
      </c>
      <c r="II75" s="4" t="str">
        <f t="shared" si="28"/>
        <v/>
      </c>
      <c r="IJ75" s="4" t="str">
        <f t="shared" si="29"/>
        <v/>
      </c>
      <c r="IK75" s="4" t="str">
        <f t="shared" si="30"/>
        <v/>
      </c>
      <c r="IL75" s="4" t="str">
        <f t="shared" si="31"/>
        <v/>
      </c>
      <c r="IM75" s="4" t="str">
        <f t="shared" si="32"/>
        <v/>
      </c>
      <c r="IN75" s="4" t="str">
        <f t="shared" si="33"/>
        <v/>
      </c>
      <c r="IO75" s="4" t="str">
        <f t="shared" si="34"/>
        <v/>
      </c>
      <c r="IP75" s="4" t="str">
        <f t="shared" si="35"/>
        <v/>
      </c>
      <c r="IQ75" s="4" t="str">
        <f t="shared" si="36"/>
        <v/>
      </c>
      <c r="IR75" s="4" t="str">
        <f t="shared" si="37"/>
        <v/>
      </c>
      <c r="IS75" s="4" t="str">
        <f t="shared" si="38"/>
        <v/>
      </c>
      <c r="IT75" s="4" t="str">
        <f t="shared" si="39"/>
        <v/>
      </c>
      <c r="IU75" s="4" t="str">
        <f t="shared" si="40"/>
        <v/>
      </c>
      <c r="IV75" s="4" t="str">
        <f t="shared" si="41"/>
        <v/>
      </c>
      <c r="IW75" s="4" t="str">
        <f t="shared" si="42"/>
        <v/>
      </c>
      <c r="IX75" s="4" t="str">
        <f t="shared" si="43"/>
        <v/>
      </c>
      <c r="IY75" s="4" t="str">
        <f t="shared" si="44"/>
        <v/>
      </c>
      <c r="IZ75" s="4" t="str">
        <f t="shared" si="45"/>
        <v/>
      </c>
      <c r="JA75" s="4" t="str">
        <f t="shared" ref="JA75:JB75" si="291">if(ISERROR(SEARCH("Higher Education",BB75)),"","810")</f>
        <v/>
      </c>
      <c r="JB75" s="4" t="str">
        <f t="shared" si="291"/>
        <v/>
      </c>
      <c r="JC75" s="4" t="str">
        <f t="shared" si="47"/>
        <v/>
      </c>
      <c r="JD75" s="4" t="str">
        <f t="shared" si="48"/>
        <v/>
      </c>
      <c r="JE75" s="4" t="str">
        <f t="shared" si="49"/>
        <v/>
      </c>
      <c r="JF75" s="4" t="str">
        <f t="shared" si="50"/>
        <v/>
      </c>
      <c r="JG75" s="4" t="str">
        <f t="shared" si="51"/>
        <v/>
      </c>
      <c r="JH75" s="4" t="str">
        <f t="shared" si="52"/>
        <v/>
      </c>
      <c r="JI75" s="4" t="str">
        <f t="shared" si="53"/>
        <v/>
      </c>
      <c r="JJ75" s="4" t="str">
        <f t="shared" si="54"/>
        <v/>
      </c>
      <c r="JK75" s="4" t="str">
        <f t="shared" si="55"/>
        <v/>
      </c>
      <c r="JL75" s="4" t="str">
        <f t="shared" si="56"/>
        <v/>
      </c>
      <c r="JM75" s="4" t="str">
        <f t="shared" si="57"/>
        <v/>
      </c>
      <c r="JN75" s="4" t="str">
        <f t="shared" si="58"/>
        <v/>
      </c>
      <c r="JO75" s="4" t="str">
        <f t="shared" si="59"/>
        <v/>
      </c>
      <c r="JP75" s="4" t="str">
        <f t="shared" si="60"/>
        <v/>
      </c>
      <c r="JQ75" s="4" t="str">
        <f t="shared" si="61"/>
        <v/>
      </c>
      <c r="JR75" s="4" t="str">
        <f t="shared" si="62"/>
        <v/>
      </c>
      <c r="JS75" s="4" t="str">
        <f t="shared" si="63"/>
        <v/>
      </c>
      <c r="JT75" s="4" t="str">
        <f t="shared" si="64"/>
        <v/>
      </c>
      <c r="JU75" s="4" t="str">
        <f t="shared" si="65"/>
        <v/>
      </c>
      <c r="JV75" s="4" t="str">
        <f t="shared" si="66"/>
        <v/>
      </c>
      <c r="JW75" s="4" t="str">
        <f t="shared" si="67"/>
        <v/>
      </c>
      <c r="JX75" s="4" t="str">
        <f t="shared" si="68"/>
        <v/>
      </c>
      <c r="JY75" s="4" t="str">
        <f t="shared" si="69"/>
        <v/>
      </c>
      <c r="JZ75" s="4" t="str">
        <f t="shared" si="70"/>
        <v/>
      </c>
      <c r="KA75" s="4" t="str">
        <f t="shared" si="71"/>
        <v/>
      </c>
      <c r="KB75" s="4" t="str">
        <f t="shared" si="72"/>
        <v/>
      </c>
      <c r="KC75" s="4" t="str">
        <f t="shared" si="73"/>
        <v/>
      </c>
      <c r="KD75" s="4" t="str">
        <f t="shared" si="74"/>
        <v/>
      </c>
      <c r="KE75" s="4" t="str">
        <f t="shared" si="75"/>
        <v/>
      </c>
      <c r="KF75" s="4" t="str">
        <f t="shared" si="76"/>
        <v/>
      </c>
      <c r="KG75" s="4" t="str">
        <f t="shared" si="77"/>
        <v/>
      </c>
      <c r="KH75" s="4" t="str">
        <f t="shared" si="78"/>
        <v/>
      </c>
      <c r="KI75" s="4" t="str">
        <f t="shared" si="79"/>
        <v/>
      </c>
      <c r="KJ75" s="4" t="str">
        <f t="shared" si="80"/>
        <v/>
      </c>
      <c r="KK75" s="4" t="str">
        <f t="shared" si="81"/>
        <v/>
      </c>
      <c r="KL75" s="4" t="str">
        <f t="shared" si="82"/>
        <v/>
      </c>
      <c r="KM75" s="4" t="str">
        <f t="shared" si="83"/>
        <v/>
      </c>
      <c r="KN75" s="4" t="str">
        <f t="shared" si="84"/>
        <v/>
      </c>
      <c r="KO75" s="4" t="str">
        <f t="shared" si="85"/>
        <v/>
      </c>
      <c r="KP75" s="4" t="str">
        <f t="shared" si="86"/>
        <v/>
      </c>
      <c r="KQ75" s="4" t="str">
        <f t="shared" si="87"/>
        <v/>
      </c>
      <c r="KR75" s="4" t="str">
        <f t="shared" si="88"/>
        <v/>
      </c>
      <c r="KS75" s="4" t="str">
        <f t="shared" si="89"/>
        <v/>
      </c>
      <c r="KT75" s="4" t="str">
        <f t="shared" si="90"/>
        <v/>
      </c>
      <c r="KU75" s="4" t="str">
        <f t="shared" si="91"/>
        <v/>
      </c>
      <c r="KV75" s="4" t="str">
        <f t="shared" si="92"/>
        <v/>
      </c>
      <c r="KW75" s="4" t="str">
        <f t="shared" si="93"/>
        <v/>
      </c>
      <c r="KX75" s="4" t="str">
        <f t="shared" si="94"/>
        <v/>
      </c>
      <c r="KY75" s="4" t="str">
        <f t="shared" si="95"/>
        <v/>
      </c>
      <c r="KZ75" s="4" t="str">
        <f t="shared" si="96"/>
        <v/>
      </c>
      <c r="LA75" s="4" t="str">
        <f t="shared" si="97"/>
        <v/>
      </c>
      <c r="LB75" s="4" t="str">
        <f t="shared" si="98"/>
        <v/>
      </c>
      <c r="LC75" s="4" t="str">
        <f t="shared" si="99"/>
        <v/>
      </c>
      <c r="LD75" s="4" t="str">
        <f t="shared" si="100"/>
        <v/>
      </c>
      <c r="LE75" s="4" t="str">
        <f t="shared" si="101"/>
        <v/>
      </c>
      <c r="LF75" s="4" t="str">
        <f t="shared" si="102"/>
        <v/>
      </c>
      <c r="LG75" s="4" t="str">
        <f t="shared" si="103"/>
        <v/>
      </c>
      <c r="LH75" s="4" t="str">
        <f t="shared" si="104"/>
        <v/>
      </c>
      <c r="LI75" s="4" t="str">
        <f t="shared" si="105"/>
        <v/>
      </c>
      <c r="LJ75" s="4" t="str">
        <f t="shared" si="106"/>
        <v/>
      </c>
      <c r="LK75" s="4" t="str">
        <f t="shared" si="107"/>
        <v/>
      </c>
      <c r="LL75" s="4" t="str">
        <f t="shared" si="108"/>
        <v/>
      </c>
      <c r="LM75" s="4" t="str">
        <f t="shared" si="109"/>
        <v/>
      </c>
      <c r="LN75" s="4" t="str">
        <f t="shared" si="110"/>
        <v/>
      </c>
      <c r="LO75" s="4" t="str">
        <f t="shared" si="111"/>
        <v/>
      </c>
      <c r="LP75" s="4" t="str">
        <f t="shared" si="112"/>
        <v/>
      </c>
      <c r="LQ75" s="4" t="str">
        <f t="shared" si="113"/>
        <v/>
      </c>
      <c r="LR75" s="4" t="str">
        <f t="shared" si="114"/>
        <v/>
      </c>
      <c r="LS75" s="4" t="str">
        <f t="shared" si="115"/>
        <v/>
      </c>
      <c r="LT75" s="4" t="str">
        <f t="shared" si="116"/>
        <v/>
      </c>
      <c r="LU75" s="4" t="str">
        <f t="shared" si="117"/>
        <v/>
      </c>
      <c r="LV75" s="4" t="str">
        <f t="shared" si="118"/>
        <v/>
      </c>
      <c r="LW75" s="4" t="str">
        <f t="shared" si="119"/>
        <v/>
      </c>
      <c r="LX75" s="4" t="str">
        <f t="shared" si="120"/>
        <v/>
      </c>
      <c r="LY75" s="4" t="str">
        <f t="shared" si="121"/>
        <v/>
      </c>
      <c r="LZ75" s="4" t="str">
        <f t="shared" si="122"/>
        <v/>
      </c>
      <c r="MA75" s="4" t="str">
        <f t="shared" si="123"/>
        <v/>
      </c>
      <c r="MB75" s="4" t="str">
        <f t="shared" si="124"/>
        <v/>
      </c>
      <c r="MC75" s="4" t="str">
        <f t="shared" si="125"/>
        <v/>
      </c>
      <c r="MD75" s="4" t="str">
        <f t="shared" si="126"/>
        <v/>
      </c>
      <c r="ME75" s="4" t="str">
        <f t="shared" si="127"/>
        <v/>
      </c>
      <c r="MF75" s="4" t="str">
        <f t="shared" si="128"/>
        <v/>
      </c>
      <c r="MG75" s="4" t="str">
        <f t="shared" si="129"/>
        <v/>
      </c>
      <c r="MH75" s="4" t="str">
        <f t="shared" si="130"/>
        <v/>
      </c>
      <c r="MI75" s="4" t="str">
        <f t="shared" si="131"/>
        <v/>
      </c>
      <c r="MJ75" s="4" t="str">
        <f t="shared" si="132"/>
        <v/>
      </c>
      <c r="MK75" s="4" t="str">
        <f t="shared" si="133"/>
        <v/>
      </c>
      <c r="ML75" s="4" t="str">
        <f t="shared" si="134"/>
        <v/>
      </c>
      <c r="MM75" s="4" t="str">
        <f t="shared" si="135"/>
        <v/>
      </c>
      <c r="MN75" s="4" t="str">
        <f t="shared" si="136"/>
        <v/>
      </c>
      <c r="MO75" s="4" t="str">
        <f t="shared" si="137"/>
        <v/>
      </c>
      <c r="MP75" s="4" t="str">
        <f t="shared" si="138"/>
        <v/>
      </c>
      <c r="MQ75" s="4" t="str">
        <f t="shared" si="139"/>
        <v/>
      </c>
      <c r="MR75" s="4" t="str">
        <f t="shared" si="140"/>
        <v/>
      </c>
      <c r="MS75" s="4" t="str">
        <f t="shared" si="141"/>
        <v/>
      </c>
      <c r="MT75" s="4" t="str">
        <f t="shared" si="142"/>
        <v/>
      </c>
      <c r="MU75" s="4" t="str">
        <f t="shared" si="143"/>
        <v/>
      </c>
      <c r="MV75" s="4" t="str">
        <f t="shared" si="144"/>
        <v/>
      </c>
      <c r="MW75" s="4" t="str">
        <f t="shared" si="145"/>
        <v/>
      </c>
      <c r="MX75" s="4" t="str">
        <f t="shared" si="146"/>
        <v/>
      </c>
      <c r="MY75" s="4" t="str">
        <f t="shared" si="147"/>
        <v/>
      </c>
      <c r="MZ75" s="4" t="str">
        <f t="shared" si="148"/>
        <v/>
      </c>
      <c r="NA75" s="4" t="str">
        <f t="shared" si="149"/>
        <v/>
      </c>
      <c r="NB75" s="4" t="str">
        <f t="shared" si="150"/>
        <v/>
      </c>
      <c r="NC75" s="4" t="str">
        <f t="shared" si="151"/>
        <v/>
      </c>
      <c r="ND75" s="4" t="str">
        <f t="shared" si="152"/>
        <v/>
      </c>
      <c r="NE75" s="4" t="str">
        <f t="shared" si="153"/>
        <v/>
      </c>
      <c r="NF75" s="4" t="str">
        <f t="shared" si="154"/>
        <v/>
      </c>
      <c r="NG75" s="4" t="str">
        <f t="shared" si="155"/>
        <v/>
      </c>
      <c r="NH75" s="4" t="str">
        <f t="shared" si="156"/>
        <v/>
      </c>
      <c r="NI75" s="4" t="str">
        <f t="shared" si="157"/>
        <v/>
      </c>
      <c r="NJ75" s="4" t="str">
        <f t="shared" si="158"/>
        <v/>
      </c>
      <c r="NK75" s="4" t="str">
        <f t="shared" si="159"/>
        <v/>
      </c>
      <c r="NL75" s="4" t="str">
        <f t="shared" si="160"/>
        <v/>
      </c>
      <c r="NM75" s="4" t="str">
        <f t="shared" si="161"/>
        <v/>
      </c>
      <c r="NN75" s="4" t="str">
        <f t="shared" si="162"/>
        <v/>
      </c>
      <c r="NO75" s="4" t="str">
        <f t="shared" si="163"/>
        <v/>
      </c>
      <c r="NP75" s="4" t="str">
        <f t="shared" si="164"/>
        <v/>
      </c>
      <c r="NQ75" s="4" t="str">
        <f t="shared" si="165"/>
        <v/>
      </c>
      <c r="NR75" s="4" t="str">
        <f t="shared" si="166"/>
        <v/>
      </c>
      <c r="NS75" s="4" t="str">
        <f t="shared" si="167"/>
        <v/>
      </c>
      <c r="NT75" s="4" t="str">
        <f t="shared" si="168"/>
        <v/>
      </c>
      <c r="NU75" s="4" t="str">
        <f t="shared" si="169"/>
        <v/>
      </c>
      <c r="NV75" s="4" t="str">
        <f t="shared" si="170"/>
        <v/>
      </c>
      <c r="NW75" s="4" t="str">
        <f t="shared" si="171"/>
        <v/>
      </c>
      <c r="NX75" s="4" t="str">
        <f t="shared" si="172"/>
        <v/>
      </c>
      <c r="NY75" s="4" t="str">
        <f t="shared" si="173"/>
        <v/>
      </c>
      <c r="NZ75" s="4" t="str">
        <f t="shared" si="174"/>
        <v/>
      </c>
      <c r="OA75" s="4" t="str">
        <f t="shared" si="175"/>
        <v/>
      </c>
      <c r="OB75" s="4" t="str">
        <f t="shared" si="176"/>
        <v/>
      </c>
      <c r="OC75" s="4" t="str">
        <f t="shared" si="177"/>
        <v/>
      </c>
      <c r="OD75" s="4" t="str">
        <f t="shared" si="178"/>
        <v/>
      </c>
      <c r="OE75" s="4" t="str">
        <f t="shared" si="179"/>
        <v/>
      </c>
      <c r="OF75" s="4" t="str">
        <f t="shared" si="180"/>
        <v/>
      </c>
      <c r="OG75" s="4" t="str">
        <f t="shared" si="181"/>
        <v/>
      </c>
      <c r="OH75" s="4" t="str">
        <f t="shared" si="182"/>
        <v/>
      </c>
      <c r="OI75" s="4" t="str">
        <f t="shared" si="183"/>
        <v/>
      </c>
      <c r="OJ75" s="4" t="str">
        <f t="shared" si="184"/>
        <v/>
      </c>
      <c r="OK75" s="4" t="str">
        <f t="shared" si="185"/>
        <v/>
      </c>
      <c r="OL75" s="4" t="str">
        <f t="shared" si="186"/>
        <v/>
      </c>
      <c r="OM75" s="4" t="str">
        <f t="shared" si="187"/>
        <v/>
      </c>
      <c r="ON75" s="4" t="str">
        <f t="shared" si="188"/>
        <v/>
      </c>
      <c r="OO75" s="4" t="str">
        <f t="shared" si="189"/>
        <v/>
      </c>
      <c r="OP75" s="4" t="str">
        <f t="shared" si="190"/>
        <v/>
      </c>
      <c r="OQ75" s="4" t="str">
        <f t="shared" si="191"/>
        <v/>
      </c>
      <c r="OR75" s="4" t="str">
        <f t="shared" si="192"/>
        <v/>
      </c>
      <c r="OS75" s="4" t="str">
        <f t="shared" si="193"/>
        <v/>
      </c>
      <c r="OT75" s="4" t="str">
        <f t="shared" si="194"/>
        <v/>
      </c>
      <c r="OU75" s="4" t="str">
        <f t="shared" si="195"/>
        <v/>
      </c>
      <c r="OV75" s="4" t="str">
        <f t="shared" si="196"/>
        <v/>
      </c>
      <c r="OW75" s="4" t="str">
        <f t="shared" si="197"/>
        <v/>
      </c>
      <c r="OX75" s="4" t="str">
        <f t="shared" si="198"/>
        <v/>
      </c>
      <c r="OY75" s="4" t="str">
        <f t="shared" si="199"/>
        <v/>
      </c>
      <c r="OZ75" s="4" t="str">
        <f t="shared" si="200"/>
        <v/>
      </c>
      <c r="PA75" s="4" t="str">
        <f t="shared" si="201"/>
        <v/>
      </c>
      <c r="PB75" s="4" t="str">
        <f t="shared" si="202"/>
        <v/>
      </c>
      <c r="PC75" s="4" t="str">
        <f t="shared" si="203"/>
        <v/>
      </c>
      <c r="PD75" s="4" t="str">
        <f t="shared" si="204"/>
        <v/>
      </c>
      <c r="PE75" s="4" t="str">
        <f t="shared" si="205"/>
        <v/>
      </c>
      <c r="PF75" s="4" t="str">
        <f t="shared" si="206"/>
        <v/>
      </c>
      <c r="PG75" s="4" t="str">
        <f t="shared" si="207"/>
        <v/>
      </c>
      <c r="PH75" s="4" t="str">
        <f t="shared" si="208"/>
        <v/>
      </c>
      <c r="PI75" s="4" t="str">
        <f t="shared" si="209"/>
        <v/>
      </c>
      <c r="PJ75" s="4" t="str">
        <f t="shared" si="210"/>
        <v/>
      </c>
      <c r="PK75" s="4" t="str">
        <f t="shared" si="211"/>
        <v/>
      </c>
      <c r="PL75" s="4" t="str">
        <f t="shared" si="212"/>
        <v/>
      </c>
      <c r="PM75" s="4" t="str">
        <f t="shared" si="213"/>
        <v/>
      </c>
      <c r="PN75" s="4" t="str">
        <f t="shared" si="214"/>
        <v/>
      </c>
      <c r="PO75" s="4" t="str">
        <f t="shared" si="215"/>
        <v/>
      </c>
      <c r="PP75" s="4" t="str">
        <f t="shared" si="216"/>
        <v/>
      </c>
      <c r="PQ75" s="4" t="str">
        <f t="shared" si="217"/>
        <v/>
      </c>
      <c r="PR75" s="4" t="str">
        <f t="shared" si="218"/>
        <v/>
      </c>
      <c r="PS75" s="4" t="str">
        <f t="shared" si="219"/>
        <v/>
      </c>
    </row>
    <row r="76">
      <c r="HI76" s="4" t="str">
        <f t="shared" si="2"/>
        <v/>
      </c>
      <c r="HJ76" s="4" t="str">
        <f t="shared" si="3"/>
        <v/>
      </c>
      <c r="HK76" s="4" t="str">
        <f t="shared" si="4"/>
        <v/>
      </c>
      <c r="HL76" s="4" t="str">
        <f t="shared" si="5"/>
        <v/>
      </c>
      <c r="HM76" s="4" t="str">
        <f t="shared" si="6"/>
        <v/>
      </c>
      <c r="HN76" s="4" t="str">
        <f t="shared" si="7"/>
        <v/>
      </c>
      <c r="HO76" s="4" t="str">
        <f t="shared" si="8"/>
        <v/>
      </c>
      <c r="HP76" s="4" t="str">
        <f t="shared" si="9"/>
        <v/>
      </c>
      <c r="HQ76" s="4" t="str">
        <f t="shared" si="10"/>
        <v/>
      </c>
      <c r="HR76" s="4" t="str">
        <f t="shared" si="11"/>
        <v/>
      </c>
      <c r="HS76" s="4" t="str">
        <f t="shared" si="12"/>
        <v/>
      </c>
      <c r="HT76" s="4" t="str">
        <f t="shared" si="13"/>
        <v/>
      </c>
      <c r="HU76" s="4" t="str">
        <f t="shared" si="14"/>
        <v/>
      </c>
      <c r="HV76" s="4" t="str">
        <f t="shared" si="15"/>
        <v/>
      </c>
      <c r="HW76" s="4" t="str">
        <f t="shared" si="16"/>
        <v/>
      </c>
      <c r="HX76" s="4" t="str">
        <f t="shared" si="17"/>
        <v/>
      </c>
      <c r="HY76" s="4" t="str">
        <f t="shared" si="18"/>
        <v/>
      </c>
      <c r="HZ76" s="4" t="str">
        <f t="shared" si="19"/>
        <v/>
      </c>
      <c r="IA76" s="4" t="str">
        <f t="shared" si="20"/>
        <v/>
      </c>
      <c r="IB76" s="4" t="str">
        <f t="shared" si="21"/>
        <v/>
      </c>
      <c r="IC76" s="4" t="str">
        <f t="shared" si="22"/>
        <v/>
      </c>
      <c r="ID76" s="4" t="str">
        <f t="shared" si="23"/>
        <v/>
      </c>
      <c r="IE76" s="4" t="str">
        <f t="shared" si="24"/>
        <v/>
      </c>
      <c r="IF76" s="4" t="str">
        <f t="shared" si="25"/>
        <v/>
      </c>
      <c r="IG76" s="4" t="str">
        <f t="shared" si="26"/>
        <v/>
      </c>
      <c r="IH76" s="4" t="str">
        <f t="shared" si="27"/>
        <v/>
      </c>
      <c r="II76" s="4" t="str">
        <f t="shared" si="28"/>
        <v/>
      </c>
      <c r="IJ76" s="4" t="str">
        <f t="shared" si="29"/>
        <v/>
      </c>
      <c r="IK76" s="4" t="str">
        <f t="shared" si="30"/>
        <v/>
      </c>
      <c r="IL76" s="4" t="str">
        <f t="shared" si="31"/>
        <v/>
      </c>
      <c r="IM76" s="4" t="str">
        <f t="shared" si="32"/>
        <v/>
      </c>
      <c r="IN76" s="4" t="str">
        <f t="shared" si="33"/>
        <v/>
      </c>
      <c r="IO76" s="4" t="str">
        <f t="shared" si="34"/>
        <v/>
      </c>
      <c r="IP76" s="4" t="str">
        <f t="shared" si="35"/>
        <v/>
      </c>
      <c r="IQ76" s="4" t="str">
        <f t="shared" si="36"/>
        <v/>
      </c>
      <c r="IR76" s="4" t="str">
        <f t="shared" si="37"/>
        <v/>
      </c>
      <c r="IS76" s="4" t="str">
        <f t="shared" si="38"/>
        <v/>
      </c>
      <c r="IT76" s="4" t="str">
        <f t="shared" si="39"/>
        <v/>
      </c>
      <c r="IU76" s="4" t="str">
        <f t="shared" si="40"/>
        <v/>
      </c>
      <c r="IV76" s="4" t="str">
        <f t="shared" si="41"/>
        <v/>
      </c>
      <c r="IW76" s="4" t="str">
        <f t="shared" si="42"/>
        <v/>
      </c>
      <c r="IX76" s="4" t="str">
        <f t="shared" si="43"/>
        <v/>
      </c>
      <c r="IY76" s="4" t="str">
        <f t="shared" si="44"/>
        <v/>
      </c>
      <c r="IZ76" s="4" t="str">
        <f t="shared" si="45"/>
        <v/>
      </c>
      <c r="JA76" s="4" t="str">
        <f t="shared" ref="JA76:JB76" si="292">if(ISERROR(SEARCH("Higher Education",BB76)),"","810")</f>
        <v/>
      </c>
      <c r="JB76" s="4" t="str">
        <f t="shared" si="292"/>
        <v/>
      </c>
      <c r="JC76" s="4" t="str">
        <f t="shared" si="47"/>
        <v/>
      </c>
      <c r="JD76" s="4" t="str">
        <f t="shared" si="48"/>
        <v/>
      </c>
      <c r="JE76" s="4" t="str">
        <f t="shared" si="49"/>
        <v/>
      </c>
      <c r="JF76" s="4" t="str">
        <f t="shared" si="50"/>
        <v/>
      </c>
      <c r="JG76" s="4" t="str">
        <f t="shared" si="51"/>
        <v/>
      </c>
      <c r="JH76" s="4" t="str">
        <f t="shared" si="52"/>
        <v/>
      </c>
      <c r="JI76" s="4" t="str">
        <f t="shared" si="53"/>
        <v/>
      </c>
      <c r="JJ76" s="4" t="str">
        <f t="shared" si="54"/>
        <v/>
      </c>
      <c r="JK76" s="4" t="str">
        <f t="shared" si="55"/>
        <v/>
      </c>
      <c r="JL76" s="4" t="str">
        <f t="shared" si="56"/>
        <v/>
      </c>
      <c r="JM76" s="4" t="str">
        <f t="shared" si="57"/>
        <v/>
      </c>
      <c r="JN76" s="4" t="str">
        <f t="shared" si="58"/>
        <v/>
      </c>
      <c r="JO76" s="4" t="str">
        <f t="shared" si="59"/>
        <v/>
      </c>
      <c r="JP76" s="4" t="str">
        <f t="shared" si="60"/>
        <v/>
      </c>
      <c r="JQ76" s="4" t="str">
        <f t="shared" si="61"/>
        <v/>
      </c>
      <c r="JR76" s="4" t="str">
        <f t="shared" si="62"/>
        <v/>
      </c>
      <c r="JS76" s="4" t="str">
        <f t="shared" si="63"/>
        <v/>
      </c>
      <c r="JT76" s="4" t="str">
        <f t="shared" si="64"/>
        <v/>
      </c>
      <c r="JU76" s="4" t="str">
        <f t="shared" si="65"/>
        <v/>
      </c>
      <c r="JV76" s="4" t="str">
        <f t="shared" si="66"/>
        <v/>
      </c>
      <c r="JW76" s="4" t="str">
        <f t="shared" si="67"/>
        <v/>
      </c>
      <c r="JX76" s="4" t="str">
        <f t="shared" si="68"/>
        <v/>
      </c>
      <c r="JY76" s="4" t="str">
        <f t="shared" si="69"/>
        <v/>
      </c>
      <c r="JZ76" s="4" t="str">
        <f t="shared" si="70"/>
        <v/>
      </c>
      <c r="KA76" s="4" t="str">
        <f t="shared" si="71"/>
        <v/>
      </c>
      <c r="KB76" s="4" t="str">
        <f t="shared" si="72"/>
        <v/>
      </c>
      <c r="KC76" s="4" t="str">
        <f t="shared" si="73"/>
        <v/>
      </c>
      <c r="KD76" s="4" t="str">
        <f t="shared" si="74"/>
        <v/>
      </c>
      <c r="KE76" s="4" t="str">
        <f t="shared" si="75"/>
        <v/>
      </c>
      <c r="KF76" s="4" t="str">
        <f t="shared" si="76"/>
        <v/>
      </c>
      <c r="KG76" s="4" t="str">
        <f t="shared" si="77"/>
        <v/>
      </c>
      <c r="KH76" s="4" t="str">
        <f t="shared" si="78"/>
        <v/>
      </c>
      <c r="KI76" s="4" t="str">
        <f t="shared" si="79"/>
        <v/>
      </c>
      <c r="KJ76" s="4" t="str">
        <f t="shared" si="80"/>
        <v/>
      </c>
      <c r="KK76" s="4" t="str">
        <f t="shared" si="81"/>
        <v/>
      </c>
      <c r="KL76" s="4" t="str">
        <f t="shared" si="82"/>
        <v/>
      </c>
      <c r="KM76" s="4" t="str">
        <f t="shared" si="83"/>
        <v/>
      </c>
      <c r="KN76" s="4" t="str">
        <f t="shared" si="84"/>
        <v/>
      </c>
      <c r="KO76" s="4" t="str">
        <f t="shared" si="85"/>
        <v/>
      </c>
      <c r="KP76" s="4" t="str">
        <f t="shared" si="86"/>
        <v/>
      </c>
      <c r="KQ76" s="4" t="str">
        <f t="shared" si="87"/>
        <v/>
      </c>
      <c r="KR76" s="4" t="str">
        <f t="shared" si="88"/>
        <v/>
      </c>
      <c r="KS76" s="4" t="str">
        <f t="shared" si="89"/>
        <v/>
      </c>
      <c r="KT76" s="4" t="str">
        <f t="shared" si="90"/>
        <v/>
      </c>
      <c r="KU76" s="4" t="str">
        <f t="shared" si="91"/>
        <v/>
      </c>
      <c r="KV76" s="4" t="str">
        <f t="shared" si="92"/>
        <v/>
      </c>
      <c r="KW76" s="4" t="str">
        <f t="shared" si="93"/>
        <v/>
      </c>
      <c r="KX76" s="4" t="str">
        <f t="shared" si="94"/>
        <v/>
      </c>
      <c r="KY76" s="4" t="str">
        <f t="shared" si="95"/>
        <v/>
      </c>
      <c r="KZ76" s="4" t="str">
        <f t="shared" si="96"/>
        <v/>
      </c>
      <c r="LA76" s="4" t="str">
        <f t="shared" si="97"/>
        <v/>
      </c>
      <c r="LB76" s="4" t="str">
        <f t="shared" si="98"/>
        <v/>
      </c>
      <c r="LC76" s="4" t="str">
        <f t="shared" si="99"/>
        <v/>
      </c>
      <c r="LD76" s="4" t="str">
        <f t="shared" si="100"/>
        <v/>
      </c>
      <c r="LE76" s="4" t="str">
        <f t="shared" si="101"/>
        <v/>
      </c>
      <c r="LF76" s="4" t="str">
        <f t="shared" si="102"/>
        <v/>
      </c>
      <c r="LG76" s="4" t="str">
        <f t="shared" si="103"/>
        <v/>
      </c>
      <c r="LH76" s="4" t="str">
        <f t="shared" si="104"/>
        <v/>
      </c>
      <c r="LI76" s="4" t="str">
        <f t="shared" si="105"/>
        <v/>
      </c>
      <c r="LJ76" s="4" t="str">
        <f t="shared" si="106"/>
        <v/>
      </c>
      <c r="LK76" s="4" t="str">
        <f t="shared" si="107"/>
        <v/>
      </c>
      <c r="LL76" s="4" t="str">
        <f t="shared" si="108"/>
        <v/>
      </c>
      <c r="LM76" s="4" t="str">
        <f t="shared" si="109"/>
        <v/>
      </c>
      <c r="LN76" s="4" t="str">
        <f t="shared" si="110"/>
        <v/>
      </c>
      <c r="LO76" s="4" t="str">
        <f t="shared" si="111"/>
        <v/>
      </c>
      <c r="LP76" s="4" t="str">
        <f t="shared" si="112"/>
        <v/>
      </c>
      <c r="LQ76" s="4" t="str">
        <f t="shared" si="113"/>
        <v/>
      </c>
      <c r="LR76" s="4" t="str">
        <f t="shared" si="114"/>
        <v/>
      </c>
      <c r="LS76" s="4" t="str">
        <f t="shared" si="115"/>
        <v/>
      </c>
      <c r="LT76" s="4" t="str">
        <f t="shared" si="116"/>
        <v/>
      </c>
      <c r="LU76" s="4" t="str">
        <f t="shared" si="117"/>
        <v/>
      </c>
      <c r="LV76" s="4" t="str">
        <f t="shared" si="118"/>
        <v/>
      </c>
      <c r="LW76" s="4" t="str">
        <f t="shared" si="119"/>
        <v/>
      </c>
      <c r="LX76" s="4" t="str">
        <f t="shared" si="120"/>
        <v/>
      </c>
      <c r="LY76" s="4" t="str">
        <f t="shared" si="121"/>
        <v/>
      </c>
      <c r="LZ76" s="4" t="str">
        <f t="shared" si="122"/>
        <v/>
      </c>
      <c r="MA76" s="4" t="str">
        <f t="shared" si="123"/>
        <v/>
      </c>
      <c r="MB76" s="4" t="str">
        <f t="shared" si="124"/>
        <v/>
      </c>
      <c r="MC76" s="4" t="str">
        <f t="shared" si="125"/>
        <v/>
      </c>
      <c r="MD76" s="4" t="str">
        <f t="shared" si="126"/>
        <v/>
      </c>
      <c r="ME76" s="4" t="str">
        <f t="shared" si="127"/>
        <v/>
      </c>
      <c r="MF76" s="4" t="str">
        <f t="shared" si="128"/>
        <v/>
      </c>
      <c r="MG76" s="4" t="str">
        <f t="shared" si="129"/>
        <v/>
      </c>
      <c r="MH76" s="4" t="str">
        <f t="shared" si="130"/>
        <v/>
      </c>
      <c r="MI76" s="4" t="str">
        <f t="shared" si="131"/>
        <v/>
      </c>
      <c r="MJ76" s="4" t="str">
        <f t="shared" si="132"/>
        <v/>
      </c>
      <c r="MK76" s="4" t="str">
        <f t="shared" si="133"/>
        <v/>
      </c>
      <c r="ML76" s="4" t="str">
        <f t="shared" si="134"/>
        <v/>
      </c>
      <c r="MM76" s="4" t="str">
        <f t="shared" si="135"/>
        <v/>
      </c>
      <c r="MN76" s="4" t="str">
        <f t="shared" si="136"/>
        <v/>
      </c>
      <c r="MO76" s="4" t="str">
        <f t="shared" si="137"/>
        <v/>
      </c>
      <c r="MP76" s="4" t="str">
        <f t="shared" si="138"/>
        <v/>
      </c>
      <c r="MQ76" s="4" t="str">
        <f t="shared" si="139"/>
        <v/>
      </c>
      <c r="MR76" s="4" t="str">
        <f t="shared" si="140"/>
        <v/>
      </c>
      <c r="MS76" s="4" t="str">
        <f t="shared" si="141"/>
        <v/>
      </c>
      <c r="MT76" s="4" t="str">
        <f t="shared" si="142"/>
        <v/>
      </c>
      <c r="MU76" s="4" t="str">
        <f t="shared" si="143"/>
        <v/>
      </c>
      <c r="MV76" s="4" t="str">
        <f t="shared" si="144"/>
        <v/>
      </c>
      <c r="MW76" s="4" t="str">
        <f t="shared" si="145"/>
        <v/>
      </c>
      <c r="MX76" s="4" t="str">
        <f t="shared" si="146"/>
        <v/>
      </c>
      <c r="MY76" s="4" t="str">
        <f t="shared" si="147"/>
        <v/>
      </c>
      <c r="MZ76" s="4" t="str">
        <f t="shared" si="148"/>
        <v/>
      </c>
      <c r="NA76" s="4" t="str">
        <f t="shared" si="149"/>
        <v/>
      </c>
      <c r="NB76" s="4" t="str">
        <f t="shared" si="150"/>
        <v/>
      </c>
      <c r="NC76" s="4" t="str">
        <f t="shared" si="151"/>
        <v/>
      </c>
      <c r="ND76" s="4" t="str">
        <f t="shared" si="152"/>
        <v/>
      </c>
      <c r="NE76" s="4" t="str">
        <f t="shared" si="153"/>
        <v/>
      </c>
      <c r="NF76" s="4" t="str">
        <f t="shared" si="154"/>
        <v/>
      </c>
      <c r="NG76" s="4" t="str">
        <f t="shared" si="155"/>
        <v/>
      </c>
      <c r="NH76" s="4" t="str">
        <f t="shared" si="156"/>
        <v/>
      </c>
      <c r="NI76" s="4" t="str">
        <f t="shared" si="157"/>
        <v/>
      </c>
      <c r="NJ76" s="4" t="str">
        <f t="shared" si="158"/>
        <v/>
      </c>
      <c r="NK76" s="4" t="str">
        <f t="shared" si="159"/>
        <v/>
      </c>
      <c r="NL76" s="4" t="str">
        <f t="shared" si="160"/>
        <v/>
      </c>
      <c r="NM76" s="4" t="str">
        <f t="shared" si="161"/>
        <v/>
      </c>
      <c r="NN76" s="4" t="str">
        <f t="shared" si="162"/>
        <v/>
      </c>
      <c r="NO76" s="4" t="str">
        <f t="shared" si="163"/>
        <v/>
      </c>
      <c r="NP76" s="4" t="str">
        <f t="shared" si="164"/>
        <v/>
      </c>
      <c r="NQ76" s="4" t="str">
        <f t="shared" si="165"/>
        <v/>
      </c>
      <c r="NR76" s="4" t="str">
        <f t="shared" si="166"/>
        <v/>
      </c>
      <c r="NS76" s="4" t="str">
        <f t="shared" si="167"/>
        <v/>
      </c>
      <c r="NT76" s="4" t="str">
        <f t="shared" si="168"/>
        <v/>
      </c>
      <c r="NU76" s="4" t="str">
        <f t="shared" si="169"/>
        <v/>
      </c>
      <c r="NV76" s="4" t="str">
        <f t="shared" si="170"/>
        <v/>
      </c>
      <c r="NW76" s="4" t="str">
        <f t="shared" si="171"/>
        <v/>
      </c>
      <c r="NX76" s="4" t="str">
        <f t="shared" si="172"/>
        <v/>
      </c>
      <c r="NY76" s="4" t="str">
        <f t="shared" si="173"/>
        <v/>
      </c>
      <c r="NZ76" s="4" t="str">
        <f t="shared" si="174"/>
        <v/>
      </c>
      <c r="OA76" s="4" t="str">
        <f t="shared" si="175"/>
        <v/>
      </c>
      <c r="OB76" s="4" t="str">
        <f t="shared" si="176"/>
        <v/>
      </c>
      <c r="OC76" s="4" t="str">
        <f t="shared" si="177"/>
        <v/>
      </c>
      <c r="OD76" s="4" t="str">
        <f t="shared" si="178"/>
        <v/>
      </c>
      <c r="OE76" s="4" t="str">
        <f t="shared" si="179"/>
        <v/>
      </c>
      <c r="OF76" s="4" t="str">
        <f t="shared" si="180"/>
        <v/>
      </c>
      <c r="OG76" s="4" t="str">
        <f t="shared" si="181"/>
        <v/>
      </c>
      <c r="OH76" s="4" t="str">
        <f t="shared" si="182"/>
        <v/>
      </c>
      <c r="OI76" s="4" t="str">
        <f t="shared" si="183"/>
        <v/>
      </c>
      <c r="OJ76" s="4" t="str">
        <f t="shared" si="184"/>
        <v/>
      </c>
      <c r="OK76" s="4" t="str">
        <f t="shared" si="185"/>
        <v/>
      </c>
      <c r="OL76" s="4" t="str">
        <f t="shared" si="186"/>
        <v/>
      </c>
      <c r="OM76" s="4" t="str">
        <f t="shared" si="187"/>
        <v/>
      </c>
      <c r="ON76" s="4" t="str">
        <f t="shared" si="188"/>
        <v/>
      </c>
      <c r="OO76" s="4" t="str">
        <f t="shared" si="189"/>
        <v/>
      </c>
      <c r="OP76" s="4" t="str">
        <f t="shared" si="190"/>
        <v/>
      </c>
      <c r="OQ76" s="4" t="str">
        <f t="shared" si="191"/>
        <v/>
      </c>
      <c r="OR76" s="4" t="str">
        <f t="shared" si="192"/>
        <v/>
      </c>
      <c r="OS76" s="4" t="str">
        <f t="shared" si="193"/>
        <v/>
      </c>
      <c r="OT76" s="4" t="str">
        <f t="shared" si="194"/>
        <v/>
      </c>
      <c r="OU76" s="4" t="str">
        <f t="shared" si="195"/>
        <v/>
      </c>
      <c r="OV76" s="4" t="str">
        <f t="shared" si="196"/>
        <v/>
      </c>
      <c r="OW76" s="4" t="str">
        <f t="shared" si="197"/>
        <v/>
      </c>
      <c r="OX76" s="4" t="str">
        <f t="shared" si="198"/>
        <v/>
      </c>
      <c r="OY76" s="4" t="str">
        <f t="shared" si="199"/>
        <v/>
      </c>
      <c r="OZ76" s="4" t="str">
        <f t="shared" si="200"/>
        <v/>
      </c>
      <c r="PA76" s="4" t="str">
        <f t="shared" si="201"/>
        <v/>
      </c>
      <c r="PB76" s="4" t="str">
        <f t="shared" si="202"/>
        <v/>
      </c>
      <c r="PC76" s="4" t="str">
        <f t="shared" si="203"/>
        <v/>
      </c>
      <c r="PD76" s="4" t="str">
        <f t="shared" si="204"/>
        <v/>
      </c>
      <c r="PE76" s="4" t="str">
        <f t="shared" si="205"/>
        <v/>
      </c>
      <c r="PF76" s="4" t="str">
        <f t="shared" si="206"/>
        <v/>
      </c>
      <c r="PG76" s="4" t="str">
        <f t="shared" si="207"/>
        <v/>
      </c>
      <c r="PH76" s="4" t="str">
        <f t="shared" si="208"/>
        <v/>
      </c>
      <c r="PI76" s="4" t="str">
        <f t="shared" si="209"/>
        <v/>
      </c>
      <c r="PJ76" s="4" t="str">
        <f t="shared" si="210"/>
        <v/>
      </c>
      <c r="PK76" s="4" t="str">
        <f t="shared" si="211"/>
        <v/>
      </c>
      <c r="PL76" s="4" t="str">
        <f t="shared" si="212"/>
        <v/>
      </c>
      <c r="PM76" s="4" t="str">
        <f t="shared" si="213"/>
        <v/>
      </c>
      <c r="PN76" s="4" t="str">
        <f t="shared" si="214"/>
        <v/>
      </c>
      <c r="PO76" s="4" t="str">
        <f t="shared" si="215"/>
        <v/>
      </c>
      <c r="PP76" s="4" t="str">
        <f t="shared" si="216"/>
        <v/>
      </c>
      <c r="PQ76" s="4" t="str">
        <f t="shared" si="217"/>
        <v/>
      </c>
      <c r="PR76" s="4" t="str">
        <f t="shared" si="218"/>
        <v/>
      </c>
      <c r="PS76" s="4" t="str">
        <f t="shared" si="219"/>
        <v/>
      </c>
    </row>
    <row r="77">
      <c r="HI77" s="4" t="str">
        <f t="shared" si="2"/>
        <v/>
      </c>
      <c r="HJ77" s="4" t="str">
        <f t="shared" si="3"/>
        <v/>
      </c>
      <c r="HK77" s="4" t="str">
        <f t="shared" si="4"/>
        <v/>
      </c>
      <c r="HL77" s="4" t="str">
        <f t="shared" si="5"/>
        <v/>
      </c>
      <c r="HM77" s="4" t="str">
        <f t="shared" si="6"/>
        <v/>
      </c>
      <c r="HN77" s="4" t="str">
        <f t="shared" si="7"/>
        <v/>
      </c>
      <c r="HO77" s="4" t="str">
        <f t="shared" si="8"/>
        <v/>
      </c>
      <c r="HP77" s="4" t="str">
        <f t="shared" si="9"/>
        <v/>
      </c>
      <c r="HQ77" s="4" t="str">
        <f t="shared" si="10"/>
        <v/>
      </c>
      <c r="HR77" s="4" t="str">
        <f t="shared" si="11"/>
        <v/>
      </c>
      <c r="HS77" s="4" t="str">
        <f t="shared" si="12"/>
        <v/>
      </c>
      <c r="HT77" s="4" t="str">
        <f t="shared" si="13"/>
        <v/>
      </c>
      <c r="HU77" s="4" t="str">
        <f t="shared" si="14"/>
        <v/>
      </c>
      <c r="HV77" s="4" t="str">
        <f t="shared" si="15"/>
        <v/>
      </c>
      <c r="HW77" s="4" t="str">
        <f t="shared" si="16"/>
        <v/>
      </c>
      <c r="HX77" s="4" t="str">
        <f t="shared" si="17"/>
        <v/>
      </c>
      <c r="HY77" s="4" t="str">
        <f t="shared" si="18"/>
        <v/>
      </c>
      <c r="HZ77" s="4" t="str">
        <f t="shared" si="19"/>
        <v/>
      </c>
      <c r="IA77" s="4" t="str">
        <f t="shared" si="20"/>
        <v/>
      </c>
      <c r="IB77" s="4" t="str">
        <f t="shared" si="21"/>
        <v/>
      </c>
      <c r="IC77" s="4" t="str">
        <f t="shared" si="22"/>
        <v/>
      </c>
      <c r="ID77" s="4" t="str">
        <f t="shared" si="23"/>
        <v/>
      </c>
      <c r="IE77" s="4" t="str">
        <f t="shared" si="24"/>
        <v/>
      </c>
      <c r="IF77" s="4" t="str">
        <f t="shared" si="25"/>
        <v/>
      </c>
      <c r="IG77" s="4" t="str">
        <f t="shared" si="26"/>
        <v/>
      </c>
      <c r="IH77" s="4" t="str">
        <f t="shared" si="27"/>
        <v/>
      </c>
      <c r="II77" s="4" t="str">
        <f t="shared" si="28"/>
        <v/>
      </c>
      <c r="IJ77" s="4" t="str">
        <f t="shared" si="29"/>
        <v/>
      </c>
      <c r="IK77" s="4" t="str">
        <f t="shared" si="30"/>
        <v/>
      </c>
      <c r="IL77" s="4" t="str">
        <f t="shared" si="31"/>
        <v/>
      </c>
      <c r="IM77" s="4" t="str">
        <f t="shared" si="32"/>
        <v/>
      </c>
      <c r="IN77" s="4" t="str">
        <f t="shared" si="33"/>
        <v/>
      </c>
      <c r="IO77" s="4" t="str">
        <f t="shared" si="34"/>
        <v/>
      </c>
      <c r="IP77" s="4" t="str">
        <f t="shared" si="35"/>
        <v/>
      </c>
      <c r="IQ77" s="4" t="str">
        <f t="shared" si="36"/>
        <v/>
      </c>
      <c r="IR77" s="4" t="str">
        <f t="shared" si="37"/>
        <v/>
      </c>
      <c r="IS77" s="4" t="str">
        <f t="shared" si="38"/>
        <v/>
      </c>
      <c r="IT77" s="4" t="str">
        <f t="shared" si="39"/>
        <v/>
      </c>
      <c r="IU77" s="4" t="str">
        <f t="shared" si="40"/>
        <v/>
      </c>
      <c r="IV77" s="4" t="str">
        <f t="shared" si="41"/>
        <v/>
      </c>
      <c r="IW77" s="4" t="str">
        <f t="shared" si="42"/>
        <v/>
      </c>
      <c r="IX77" s="4" t="str">
        <f t="shared" si="43"/>
        <v/>
      </c>
      <c r="IY77" s="4" t="str">
        <f t="shared" si="44"/>
        <v/>
      </c>
      <c r="IZ77" s="4" t="str">
        <f t="shared" si="45"/>
        <v/>
      </c>
      <c r="JA77" s="4" t="str">
        <f t="shared" ref="JA77:JB77" si="293">if(ISERROR(SEARCH("Higher Education",BB77)),"","810")</f>
        <v/>
      </c>
      <c r="JB77" s="4" t="str">
        <f t="shared" si="293"/>
        <v/>
      </c>
      <c r="JC77" s="4" t="str">
        <f t="shared" si="47"/>
        <v/>
      </c>
      <c r="JD77" s="4" t="str">
        <f t="shared" si="48"/>
        <v/>
      </c>
      <c r="JE77" s="4" t="str">
        <f t="shared" si="49"/>
        <v/>
      </c>
      <c r="JF77" s="4" t="str">
        <f t="shared" si="50"/>
        <v/>
      </c>
      <c r="JG77" s="4" t="str">
        <f t="shared" si="51"/>
        <v/>
      </c>
      <c r="JH77" s="4" t="str">
        <f t="shared" si="52"/>
        <v/>
      </c>
      <c r="JI77" s="4" t="str">
        <f t="shared" si="53"/>
        <v/>
      </c>
      <c r="JJ77" s="4" t="str">
        <f t="shared" si="54"/>
        <v/>
      </c>
      <c r="JK77" s="4" t="str">
        <f t="shared" si="55"/>
        <v/>
      </c>
      <c r="JL77" s="4" t="str">
        <f t="shared" si="56"/>
        <v/>
      </c>
      <c r="JM77" s="4" t="str">
        <f t="shared" si="57"/>
        <v/>
      </c>
      <c r="JN77" s="4" t="str">
        <f t="shared" si="58"/>
        <v/>
      </c>
      <c r="JO77" s="4" t="str">
        <f t="shared" si="59"/>
        <v/>
      </c>
      <c r="JP77" s="4" t="str">
        <f t="shared" si="60"/>
        <v/>
      </c>
      <c r="JQ77" s="4" t="str">
        <f t="shared" si="61"/>
        <v/>
      </c>
      <c r="JR77" s="4" t="str">
        <f t="shared" si="62"/>
        <v/>
      </c>
      <c r="JS77" s="4" t="str">
        <f t="shared" si="63"/>
        <v/>
      </c>
      <c r="JT77" s="4" t="str">
        <f t="shared" si="64"/>
        <v/>
      </c>
      <c r="JU77" s="4" t="str">
        <f t="shared" si="65"/>
        <v/>
      </c>
      <c r="JV77" s="4" t="str">
        <f t="shared" si="66"/>
        <v/>
      </c>
      <c r="JW77" s="4" t="str">
        <f t="shared" si="67"/>
        <v/>
      </c>
      <c r="JX77" s="4" t="str">
        <f t="shared" si="68"/>
        <v/>
      </c>
      <c r="JY77" s="4" t="str">
        <f t="shared" si="69"/>
        <v/>
      </c>
      <c r="JZ77" s="4" t="str">
        <f t="shared" si="70"/>
        <v/>
      </c>
      <c r="KA77" s="4" t="str">
        <f t="shared" si="71"/>
        <v/>
      </c>
      <c r="KB77" s="4" t="str">
        <f t="shared" si="72"/>
        <v/>
      </c>
      <c r="KC77" s="4" t="str">
        <f t="shared" si="73"/>
        <v/>
      </c>
      <c r="KD77" s="4" t="str">
        <f t="shared" si="74"/>
        <v/>
      </c>
      <c r="KE77" s="4" t="str">
        <f t="shared" si="75"/>
        <v/>
      </c>
      <c r="KF77" s="4" t="str">
        <f t="shared" si="76"/>
        <v/>
      </c>
      <c r="KG77" s="4" t="str">
        <f t="shared" si="77"/>
        <v/>
      </c>
      <c r="KH77" s="4" t="str">
        <f t="shared" si="78"/>
        <v/>
      </c>
      <c r="KI77" s="4" t="str">
        <f t="shared" si="79"/>
        <v/>
      </c>
      <c r="KJ77" s="4" t="str">
        <f t="shared" si="80"/>
        <v/>
      </c>
      <c r="KK77" s="4" t="str">
        <f t="shared" si="81"/>
        <v/>
      </c>
      <c r="KL77" s="4" t="str">
        <f t="shared" si="82"/>
        <v/>
      </c>
      <c r="KM77" s="4" t="str">
        <f t="shared" si="83"/>
        <v/>
      </c>
      <c r="KN77" s="4" t="str">
        <f t="shared" si="84"/>
        <v/>
      </c>
      <c r="KO77" s="4" t="str">
        <f t="shared" si="85"/>
        <v/>
      </c>
      <c r="KP77" s="4" t="str">
        <f t="shared" si="86"/>
        <v/>
      </c>
      <c r="KQ77" s="4" t="str">
        <f t="shared" si="87"/>
        <v/>
      </c>
      <c r="KR77" s="4" t="str">
        <f t="shared" si="88"/>
        <v/>
      </c>
      <c r="KS77" s="4" t="str">
        <f t="shared" si="89"/>
        <v/>
      </c>
      <c r="KT77" s="4" t="str">
        <f t="shared" si="90"/>
        <v/>
      </c>
      <c r="KU77" s="4" t="str">
        <f t="shared" si="91"/>
        <v/>
      </c>
      <c r="KV77" s="4" t="str">
        <f t="shared" si="92"/>
        <v/>
      </c>
      <c r="KW77" s="4" t="str">
        <f t="shared" si="93"/>
        <v/>
      </c>
      <c r="KX77" s="4" t="str">
        <f t="shared" si="94"/>
        <v/>
      </c>
      <c r="KY77" s="4" t="str">
        <f t="shared" si="95"/>
        <v/>
      </c>
      <c r="KZ77" s="4" t="str">
        <f t="shared" si="96"/>
        <v/>
      </c>
      <c r="LA77" s="4" t="str">
        <f t="shared" si="97"/>
        <v/>
      </c>
      <c r="LB77" s="4" t="str">
        <f t="shared" si="98"/>
        <v/>
      </c>
      <c r="LC77" s="4" t="str">
        <f t="shared" si="99"/>
        <v/>
      </c>
      <c r="LD77" s="4" t="str">
        <f t="shared" si="100"/>
        <v/>
      </c>
      <c r="LE77" s="4" t="str">
        <f t="shared" si="101"/>
        <v/>
      </c>
      <c r="LF77" s="4" t="str">
        <f t="shared" si="102"/>
        <v/>
      </c>
      <c r="LG77" s="4" t="str">
        <f t="shared" si="103"/>
        <v/>
      </c>
      <c r="LH77" s="4" t="str">
        <f t="shared" si="104"/>
        <v/>
      </c>
      <c r="LI77" s="4" t="str">
        <f t="shared" si="105"/>
        <v/>
      </c>
      <c r="LJ77" s="4" t="str">
        <f t="shared" si="106"/>
        <v/>
      </c>
      <c r="LK77" s="4" t="str">
        <f t="shared" si="107"/>
        <v/>
      </c>
      <c r="LL77" s="4" t="str">
        <f t="shared" si="108"/>
        <v/>
      </c>
      <c r="LM77" s="4" t="str">
        <f t="shared" si="109"/>
        <v/>
      </c>
      <c r="LN77" s="4" t="str">
        <f t="shared" si="110"/>
        <v/>
      </c>
      <c r="LO77" s="4" t="str">
        <f t="shared" si="111"/>
        <v/>
      </c>
      <c r="LP77" s="4" t="str">
        <f t="shared" si="112"/>
        <v/>
      </c>
      <c r="LQ77" s="4" t="str">
        <f t="shared" si="113"/>
        <v/>
      </c>
      <c r="LR77" s="4" t="str">
        <f t="shared" si="114"/>
        <v/>
      </c>
      <c r="LS77" s="4" t="str">
        <f t="shared" si="115"/>
        <v/>
      </c>
      <c r="LT77" s="4" t="str">
        <f t="shared" si="116"/>
        <v/>
      </c>
      <c r="LU77" s="4" t="str">
        <f t="shared" si="117"/>
        <v/>
      </c>
      <c r="LV77" s="4" t="str">
        <f t="shared" si="118"/>
        <v/>
      </c>
      <c r="LW77" s="4" t="str">
        <f t="shared" si="119"/>
        <v/>
      </c>
      <c r="LX77" s="4" t="str">
        <f t="shared" si="120"/>
        <v/>
      </c>
      <c r="LY77" s="4" t="str">
        <f t="shared" si="121"/>
        <v/>
      </c>
      <c r="LZ77" s="4" t="str">
        <f t="shared" si="122"/>
        <v/>
      </c>
      <c r="MA77" s="4" t="str">
        <f t="shared" si="123"/>
        <v/>
      </c>
      <c r="MB77" s="4" t="str">
        <f t="shared" si="124"/>
        <v/>
      </c>
      <c r="MC77" s="4" t="str">
        <f t="shared" si="125"/>
        <v/>
      </c>
      <c r="MD77" s="4" t="str">
        <f t="shared" si="126"/>
        <v/>
      </c>
      <c r="ME77" s="4" t="str">
        <f t="shared" si="127"/>
        <v/>
      </c>
      <c r="MF77" s="4" t="str">
        <f t="shared" si="128"/>
        <v/>
      </c>
      <c r="MG77" s="4" t="str">
        <f t="shared" si="129"/>
        <v/>
      </c>
      <c r="MH77" s="4" t="str">
        <f t="shared" si="130"/>
        <v/>
      </c>
      <c r="MI77" s="4" t="str">
        <f t="shared" si="131"/>
        <v/>
      </c>
      <c r="MJ77" s="4" t="str">
        <f t="shared" si="132"/>
        <v/>
      </c>
      <c r="MK77" s="4" t="str">
        <f t="shared" si="133"/>
        <v/>
      </c>
      <c r="ML77" s="4" t="str">
        <f t="shared" si="134"/>
        <v/>
      </c>
      <c r="MM77" s="4" t="str">
        <f t="shared" si="135"/>
        <v/>
      </c>
      <c r="MN77" s="4" t="str">
        <f t="shared" si="136"/>
        <v/>
      </c>
      <c r="MO77" s="4" t="str">
        <f t="shared" si="137"/>
        <v/>
      </c>
      <c r="MP77" s="4" t="str">
        <f t="shared" si="138"/>
        <v/>
      </c>
      <c r="MQ77" s="4" t="str">
        <f t="shared" si="139"/>
        <v/>
      </c>
      <c r="MR77" s="4" t="str">
        <f t="shared" si="140"/>
        <v/>
      </c>
      <c r="MS77" s="4" t="str">
        <f t="shared" si="141"/>
        <v/>
      </c>
      <c r="MT77" s="4" t="str">
        <f t="shared" si="142"/>
        <v/>
      </c>
      <c r="MU77" s="4" t="str">
        <f t="shared" si="143"/>
        <v/>
      </c>
      <c r="MV77" s="4" t="str">
        <f t="shared" si="144"/>
        <v/>
      </c>
      <c r="MW77" s="4" t="str">
        <f t="shared" si="145"/>
        <v/>
      </c>
      <c r="MX77" s="4" t="str">
        <f t="shared" si="146"/>
        <v/>
      </c>
      <c r="MY77" s="4" t="str">
        <f t="shared" si="147"/>
        <v/>
      </c>
      <c r="MZ77" s="4" t="str">
        <f t="shared" si="148"/>
        <v/>
      </c>
      <c r="NA77" s="4" t="str">
        <f t="shared" si="149"/>
        <v/>
      </c>
      <c r="NB77" s="4" t="str">
        <f t="shared" si="150"/>
        <v/>
      </c>
      <c r="NC77" s="4" t="str">
        <f t="shared" si="151"/>
        <v/>
      </c>
      <c r="ND77" s="4" t="str">
        <f t="shared" si="152"/>
        <v/>
      </c>
      <c r="NE77" s="4" t="str">
        <f t="shared" si="153"/>
        <v/>
      </c>
      <c r="NF77" s="4" t="str">
        <f t="shared" si="154"/>
        <v/>
      </c>
      <c r="NG77" s="4" t="str">
        <f t="shared" si="155"/>
        <v/>
      </c>
      <c r="NH77" s="4" t="str">
        <f t="shared" si="156"/>
        <v/>
      </c>
      <c r="NI77" s="4" t="str">
        <f t="shared" si="157"/>
        <v/>
      </c>
      <c r="NJ77" s="4" t="str">
        <f t="shared" si="158"/>
        <v/>
      </c>
      <c r="NK77" s="4" t="str">
        <f t="shared" si="159"/>
        <v/>
      </c>
      <c r="NL77" s="4" t="str">
        <f t="shared" si="160"/>
        <v/>
      </c>
      <c r="NM77" s="4" t="str">
        <f t="shared" si="161"/>
        <v/>
      </c>
      <c r="NN77" s="4" t="str">
        <f t="shared" si="162"/>
        <v/>
      </c>
      <c r="NO77" s="4" t="str">
        <f t="shared" si="163"/>
        <v/>
      </c>
      <c r="NP77" s="4" t="str">
        <f t="shared" si="164"/>
        <v/>
      </c>
      <c r="NQ77" s="4" t="str">
        <f t="shared" si="165"/>
        <v/>
      </c>
      <c r="NR77" s="4" t="str">
        <f t="shared" si="166"/>
        <v/>
      </c>
      <c r="NS77" s="4" t="str">
        <f t="shared" si="167"/>
        <v/>
      </c>
      <c r="NT77" s="4" t="str">
        <f t="shared" si="168"/>
        <v/>
      </c>
      <c r="NU77" s="4" t="str">
        <f t="shared" si="169"/>
        <v/>
      </c>
      <c r="NV77" s="4" t="str">
        <f t="shared" si="170"/>
        <v/>
      </c>
      <c r="NW77" s="4" t="str">
        <f t="shared" si="171"/>
        <v/>
      </c>
      <c r="NX77" s="4" t="str">
        <f t="shared" si="172"/>
        <v/>
      </c>
      <c r="NY77" s="4" t="str">
        <f t="shared" si="173"/>
        <v/>
      </c>
      <c r="NZ77" s="4" t="str">
        <f t="shared" si="174"/>
        <v/>
      </c>
      <c r="OA77" s="4" t="str">
        <f t="shared" si="175"/>
        <v/>
      </c>
      <c r="OB77" s="4" t="str">
        <f t="shared" si="176"/>
        <v/>
      </c>
      <c r="OC77" s="4" t="str">
        <f t="shared" si="177"/>
        <v/>
      </c>
      <c r="OD77" s="4" t="str">
        <f t="shared" si="178"/>
        <v/>
      </c>
      <c r="OE77" s="4" t="str">
        <f t="shared" si="179"/>
        <v/>
      </c>
      <c r="OF77" s="4" t="str">
        <f t="shared" si="180"/>
        <v/>
      </c>
      <c r="OG77" s="4" t="str">
        <f t="shared" si="181"/>
        <v/>
      </c>
      <c r="OH77" s="4" t="str">
        <f t="shared" si="182"/>
        <v/>
      </c>
      <c r="OI77" s="4" t="str">
        <f t="shared" si="183"/>
        <v/>
      </c>
      <c r="OJ77" s="4" t="str">
        <f t="shared" si="184"/>
        <v/>
      </c>
      <c r="OK77" s="4" t="str">
        <f t="shared" si="185"/>
        <v/>
      </c>
      <c r="OL77" s="4" t="str">
        <f t="shared" si="186"/>
        <v/>
      </c>
      <c r="OM77" s="4" t="str">
        <f t="shared" si="187"/>
        <v/>
      </c>
      <c r="ON77" s="4" t="str">
        <f t="shared" si="188"/>
        <v/>
      </c>
      <c r="OO77" s="4" t="str">
        <f t="shared" si="189"/>
        <v/>
      </c>
      <c r="OP77" s="4" t="str">
        <f t="shared" si="190"/>
        <v/>
      </c>
      <c r="OQ77" s="4" t="str">
        <f t="shared" si="191"/>
        <v/>
      </c>
      <c r="OR77" s="4" t="str">
        <f t="shared" si="192"/>
        <v/>
      </c>
      <c r="OS77" s="4" t="str">
        <f t="shared" si="193"/>
        <v/>
      </c>
      <c r="OT77" s="4" t="str">
        <f t="shared" si="194"/>
        <v/>
      </c>
      <c r="OU77" s="4" t="str">
        <f t="shared" si="195"/>
        <v/>
      </c>
      <c r="OV77" s="4" t="str">
        <f t="shared" si="196"/>
        <v/>
      </c>
      <c r="OW77" s="4" t="str">
        <f t="shared" si="197"/>
        <v/>
      </c>
      <c r="OX77" s="4" t="str">
        <f t="shared" si="198"/>
        <v/>
      </c>
      <c r="OY77" s="4" t="str">
        <f t="shared" si="199"/>
        <v/>
      </c>
      <c r="OZ77" s="4" t="str">
        <f t="shared" si="200"/>
        <v/>
      </c>
      <c r="PA77" s="4" t="str">
        <f t="shared" si="201"/>
        <v/>
      </c>
      <c r="PB77" s="4" t="str">
        <f t="shared" si="202"/>
        <v/>
      </c>
      <c r="PC77" s="4" t="str">
        <f t="shared" si="203"/>
        <v/>
      </c>
      <c r="PD77" s="4" t="str">
        <f t="shared" si="204"/>
        <v/>
      </c>
      <c r="PE77" s="4" t="str">
        <f t="shared" si="205"/>
        <v/>
      </c>
      <c r="PF77" s="4" t="str">
        <f t="shared" si="206"/>
        <v/>
      </c>
      <c r="PG77" s="4" t="str">
        <f t="shared" si="207"/>
        <v/>
      </c>
      <c r="PH77" s="4" t="str">
        <f t="shared" si="208"/>
        <v/>
      </c>
      <c r="PI77" s="4" t="str">
        <f t="shared" si="209"/>
        <v/>
      </c>
      <c r="PJ77" s="4" t="str">
        <f t="shared" si="210"/>
        <v/>
      </c>
      <c r="PK77" s="4" t="str">
        <f t="shared" si="211"/>
        <v/>
      </c>
      <c r="PL77" s="4" t="str">
        <f t="shared" si="212"/>
        <v/>
      </c>
      <c r="PM77" s="4" t="str">
        <f t="shared" si="213"/>
        <v/>
      </c>
      <c r="PN77" s="4" t="str">
        <f t="shared" si="214"/>
        <v/>
      </c>
      <c r="PO77" s="4" t="str">
        <f t="shared" si="215"/>
        <v/>
      </c>
      <c r="PP77" s="4" t="str">
        <f t="shared" si="216"/>
        <v/>
      </c>
      <c r="PQ77" s="4" t="str">
        <f t="shared" si="217"/>
        <v/>
      </c>
      <c r="PR77" s="4" t="str">
        <f t="shared" si="218"/>
        <v/>
      </c>
      <c r="PS77" s="4" t="str">
        <f t="shared" si="219"/>
        <v/>
      </c>
    </row>
    <row r="78">
      <c r="HI78" s="4" t="str">
        <f t="shared" si="2"/>
        <v/>
      </c>
      <c r="HJ78" s="4" t="str">
        <f t="shared" si="3"/>
        <v/>
      </c>
      <c r="HK78" s="4" t="str">
        <f t="shared" si="4"/>
        <v/>
      </c>
      <c r="HL78" s="4" t="str">
        <f t="shared" si="5"/>
        <v/>
      </c>
      <c r="HM78" s="4" t="str">
        <f t="shared" si="6"/>
        <v/>
      </c>
      <c r="HN78" s="4" t="str">
        <f t="shared" si="7"/>
        <v/>
      </c>
      <c r="HO78" s="4" t="str">
        <f t="shared" si="8"/>
        <v/>
      </c>
      <c r="HP78" s="4" t="str">
        <f t="shared" si="9"/>
        <v/>
      </c>
      <c r="HQ78" s="4" t="str">
        <f t="shared" si="10"/>
        <v/>
      </c>
      <c r="HR78" s="4" t="str">
        <f t="shared" si="11"/>
        <v/>
      </c>
      <c r="HS78" s="4" t="str">
        <f t="shared" si="12"/>
        <v/>
      </c>
      <c r="HT78" s="4" t="str">
        <f t="shared" si="13"/>
        <v/>
      </c>
      <c r="HU78" s="4" t="str">
        <f t="shared" si="14"/>
        <v/>
      </c>
      <c r="HV78" s="4" t="str">
        <f t="shared" si="15"/>
        <v/>
      </c>
      <c r="HW78" s="4" t="str">
        <f t="shared" si="16"/>
        <v/>
      </c>
      <c r="HX78" s="4" t="str">
        <f t="shared" si="17"/>
        <v/>
      </c>
      <c r="HY78" s="4" t="str">
        <f t="shared" si="18"/>
        <v/>
      </c>
      <c r="HZ78" s="4" t="str">
        <f t="shared" si="19"/>
        <v/>
      </c>
      <c r="IA78" s="4" t="str">
        <f t="shared" si="20"/>
        <v/>
      </c>
      <c r="IB78" s="4" t="str">
        <f t="shared" si="21"/>
        <v/>
      </c>
      <c r="IC78" s="4" t="str">
        <f t="shared" si="22"/>
        <v/>
      </c>
      <c r="ID78" s="4" t="str">
        <f t="shared" si="23"/>
        <v/>
      </c>
      <c r="IE78" s="4" t="str">
        <f t="shared" si="24"/>
        <v/>
      </c>
      <c r="IF78" s="4" t="str">
        <f t="shared" si="25"/>
        <v/>
      </c>
      <c r="IG78" s="4" t="str">
        <f t="shared" si="26"/>
        <v/>
      </c>
      <c r="IH78" s="4" t="str">
        <f t="shared" si="27"/>
        <v/>
      </c>
      <c r="II78" s="4" t="str">
        <f t="shared" si="28"/>
        <v/>
      </c>
      <c r="IJ78" s="4" t="str">
        <f t="shared" si="29"/>
        <v/>
      </c>
      <c r="IK78" s="4" t="str">
        <f t="shared" si="30"/>
        <v/>
      </c>
      <c r="IL78" s="4" t="str">
        <f t="shared" si="31"/>
        <v/>
      </c>
      <c r="IM78" s="4" t="str">
        <f t="shared" si="32"/>
        <v/>
      </c>
      <c r="IN78" s="4" t="str">
        <f t="shared" si="33"/>
        <v/>
      </c>
      <c r="IO78" s="4" t="str">
        <f t="shared" si="34"/>
        <v/>
      </c>
      <c r="IP78" s="4" t="str">
        <f t="shared" si="35"/>
        <v/>
      </c>
      <c r="IQ78" s="4" t="str">
        <f t="shared" si="36"/>
        <v/>
      </c>
      <c r="IR78" s="4" t="str">
        <f t="shared" si="37"/>
        <v/>
      </c>
      <c r="IS78" s="4" t="str">
        <f t="shared" si="38"/>
        <v/>
      </c>
      <c r="IT78" s="4" t="str">
        <f t="shared" si="39"/>
        <v/>
      </c>
      <c r="IU78" s="4" t="str">
        <f t="shared" si="40"/>
        <v/>
      </c>
      <c r="IV78" s="4" t="str">
        <f t="shared" si="41"/>
        <v/>
      </c>
      <c r="IW78" s="4" t="str">
        <f t="shared" si="42"/>
        <v/>
      </c>
      <c r="IX78" s="4" t="str">
        <f t="shared" si="43"/>
        <v/>
      </c>
      <c r="IY78" s="4" t="str">
        <f t="shared" si="44"/>
        <v/>
      </c>
      <c r="IZ78" s="4" t="str">
        <f t="shared" si="45"/>
        <v/>
      </c>
      <c r="JA78" s="4" t="str">
        <f t="shared" ref="JA78:JB78" si="294">if(ISERROR(SEARCH("Higher Education",BB78)),"","810")</f>
        <v/>
      </c>
      <c r="JB78" s="4" t="str">
        <f t="shared" si="294"/>
        <v/>
      </c>
      <c r="JC78" s="4" t="str">
        <f t="shared" si="47"/>
        <v/>
      </c>
      <c r="JD78" s="4" t="str">
        <f t="shared" si="48"/>
        <v/>
      </c>
      <c r="JE78" s="4" t="str">
        <f t="shared" si="49"/>
        <v/>
      </c>
      <c r="JF78" s="4" t="str">
        <f t="shared" si="50"/>
        <v/>
      </c>
      <c r="JG78" s="4" t="str">
        <f t="shared" si="51"/>
        <v/>
      </c>
      <c r="JH78" s="4" t="str">
        <f t="shared" si="52"/>
        <v/>
      </c>
      <c r="JI78" s="4" t="str">
        <f t="shared" si="53"/>
        <v/>
      </c>
      <c r="JJ78" s="4" t="str">
        <f t="shared" si="54"/>
        <v/>
      </c>
      <c r="JK78" s="4" t="str">
        <f t="shared" si="55"/>
        <v/>
      </c>
      <c r="JL78" s="4" t="str">
        <f t="shared" si="56"/>
        <v/>
      </c>
      <c r="JM78" s="4" t="str">
        <f t="shared" si="57"/>
        <v/>
      </c>
      <c r="JN78" s="4" t="str">
        <f t="shared" si="58"/>
        <v/>
      </c>
      <c r="JO78" s="4" t="str">
        <f t="shared" si="59"/>
        <v/>
      </c>
      <c r="JP78" s="4" t="str">
        <f t="shared" si="60"/>
        <v/>
      </c>
      <c r="JQ78" s="4" t="str">
        <f t="shared" si="61"/>
        <v/>
      </c>
      <c r="JR78" s="4" t="str">
        <f t="shared" si="62"/>
        <v/>
      </c>
      <c r="JS78" s="4" t="str">
        <f t="shared" si="63"/>
        <v/>
      </c>
      <c r="JT78" s="4" t="str">
        <f t="shared" si="64"/>
        <v/>
      </c>
      <c r="JU78" s="4" t="str">
        <f t="shared" si="65"/>
        <v/>
      </c>
      <c r="JV78" s="4" t="str">
        <f t="shared" si="66"/>
        <v/>
      </c>
      <c r="JW78" s="4" t="str">
        <f t="shared" si="67"/>
        <v/>
      </c>
      <c r="JX78" s="4" t="str">
        <f t="shared" si="68"/>
        <v/>
      </c>
      <c r="JY78" s="4" t="str">
        <f t="shared" si="69"/>
        <v/>
      </c>
      <c r="JZ78" s="4" t="str">
        <f t="shared" si="70"/>
        <v/>
      </c>
      <c r="KA78" s="4" t="str">
        <f t="shared" si="71"/>
        <v/>
      </c>
      <c r="KB78" s="4" t="str">
        <f t="shared" si="72"/>
        <v/>
      </c>
      <c r="KC78" s="4" t="str">
        <f t="shared" si="73"/>
        <v/>
      </c>
      <c r="KD78" s="4" t="str">
        <f t="shared" si="74"/>
        <v/>
      </c>
      <c r="KE78" s="4" t="str">
        <f t="shared" si="75"/>
        <v/>
      </c>
      <c r="KF78" s="4" t="str">
        <f t="shared" si="76"/>
        <v/>
      </c>
      <c r="KG78" s="4" t="str">
        <f t="shared" si="77"/>
        <v/>
      </c>
      <c r="KH78" s="4" t="str">
        <f t="shared" si="78"/>
        <v/>
      </c>
      <c r="KI78" s="4" t="str">
        <f t="shared" si="79"/>
        <v/>
      </c>
      <c r="KJ78" s="4" t="str">
        <f t="shared" si="80"/>
        <v/>
      </c>
      <c r="KK78" s="4" t="str">
        <f t="shared" si="81"/>
        <v/>
      </c>
      <c r="KL78" s="4" t="str">
        <f t="shared" si="82"/>
        <v/>
      </c>
      <c r="KM78" s="4" t="str">
        <f t="shared" si="83"/>
        <v/>
      </c>
      <c r="KN78" s="4" t="str">
        <f t="shared" si="84"/>
        <v/>
      </c>
      <c r="KO78" s="4" t="str">
        <f t="shared" si="85"/>
        <v/>
      </c>
      <c r="KP78" s="4" t="str">
        <f t="shared" si="86"/>
        <v/>
      </c>
      <c r="KQ78" s="4" t="str">
        <f t="shared" si="87"/>
        <v/>
      </c>
      <c r="KR78" s="4" t="str">
        <f t="shared" si="88"/>
        <v/>
      </c>
      <c r="KS78" s="4" t="str">
        <f t="shared" si="89"/>
        <v/>
      </c>
      <c r="KT78" s="4" t="str">
        <f t="shared" si="90"/>
        <v/>
      </c>
      <c r="KU78" s="4" t="str">
        <f t="shared" si="91"/>
        <v/>
      </c>
      <c r="KV78" s="4" t="str">
        <f t="shared" si="92"/>
        <v/>
      </c>
      <c r="KW78" s="4" t="str">
        <f t="shared" si="93"/>
        <v/>
      </c>
      <c r="KX78" s="4" t="str">
        <f t="shared" si="94"/>
        <v/>
      </c>
      <c r="KY78" s="4" t="str">
        <f t="shared" si="95"/>
        <v/>
      </c>
      <c r="KZ78" s="4" t="str">
        <f t="shared" si="96"/>
        <v/>
      </c>
      <c r="LA78" s="4" t="str">
        <f t="shared" si="97"/>
        <v/>
      </c>
      <c r="LB78" s="4" t="str">
        <f t="shared" si="98"/>
        <v/>
      </c>
      <c r="LC78" s="4" t="str">
        <f t="shared" si="99"/>
        <v/>
      </c>
      <c r="LD78" s="4" t="str">
        <f t="shared" si="100"/>
        <v/>
      </c>
      <c r="LE78" s="4" t="str">
        <f t="shared" si="101"/>
        <v/>
      </c>
      <c r="LF78" s="4" t="str">
        <f t="shared" si="102"/>
        <v/>
      </c>
      <c r="LG78" s="4" t="str">
        <f t="shared" si="103"/>
        <v/>
      </c>
      <c r="LH78" s="4" t="str">
        <f t="shared" si="104"/>
        <v/>
      </c>
      <c r="LI78" s="4" t="str">
        <f t="shared" si="105"/>
        <v/>
      </c>
      <c r="LJ78" s="4" t="str">
        <f t="shared" si="106"/>
        <v/>
      </c>
      <c r="LK78" s="4" t="str">
        <f t="shared" si="107"/>
        <v/>
      </c>
      <c r="LL78" s="4" t="str">
        <f t="shared" si="108"/>
        <v/>
      </c>
      <c r="LM78" s="4" t="str">
        <f t="shared" si="109"/>
        <v/>
      </c>
      <c r="LN78" s="4" t="str">
        <f t="shared" si="110"/>
        <v/>
      </c>
      <c r="LO78" s="4" t="str">
        <f t="shared" si="111"/>
        <v/>
      </c>
      <c r="LP78" s="4" t="str">
        <f t="shared" si="112"/>
        <v/>
      </c>
      <c r="LQ78" s="4" t="str">
        <f t="shared" si="113"/>
        <v/>
      </c>
      <c r="LR78" s="4" t="str">
        <f t="shared" si="114"/>
        <v/>
      </c>
      <c r="LS78" s="4" t="str">
        <f t="shared" si="115"/>
        <v/>
      </c>
      <c r="LT78" s="4" t="str">
        <f t="shared" si="116"/>
        <v/>
      </c>
      <c r="LU78" s="4" t="str">
        <f t="shared" si="117"/>
        <v/>
      </c>
      <c r="LV78" s="4" t="str">
        <f t="shared" si="118"/>
        <v/>
      </c>
      <c r="LW78" s="4" t="str">
        <f t="shared" si="119"/>
        <v/>
      </c>
      <c r="LX78" s="4" t="str">
        <f t="shared" si="120"/>
        <v/>
      </c>
      <c r="LY78" s="4" t="str">
        <f t="shared" si="121"/>
        <v/>
      </c>
      <c r="LZ78" s="4" t="str">
        <f t="shared" si="122"/>
        <v/>
      </c>
      <c r="MA78" s="4" t="str">
        <f t="shared" si="123"/>
        <v/>
      </c>
      <c r="MB78" s="4" t="str">
        <f t="shared" si="124"/>
        <v/>
      </c>
      <c r="MC78" s="4" t="str">
        <f t="shared" si="125"/>
        <v/>
      </c>
      <c r="MD78" s="4" t="str">
        <f t="shared" si="126"/>
        <v/>
      </c>
      <c r="ME78" s="4" t="str">
        <f t="shared" si="127"/>
        <v/>
      </c>
      <c r="MF78" s="4" t="str">
        <f t="shared" si="128"/>
        <v/>
      </c>
      <c r="MG78" s="4" t="str">
        <f t="shared" si="129"/>
        <v/>
      </c>
      <c r="MH78" s="4" t="str">
        <f t="shared" si="130"/>
        <v/>
      </c>
      <c r="MI78" s="4" t="str">
        <f t="shared" si="131"/>
        <v/>
      </c>
      <c r="MJ78" s="4" t="str">
        <f t="shared" si="132"/>
        <v/>
      </c>
      <c r="MK78" s="4" t="str">
        <f t="shared" si="133"/>
        <v/>
      </c>
      <c r="ML78" s="4" t="str">
        <f t="shared" si="134"/>
        <v/>
      </c>
      <c r="MM78" s="4" t="str">
        <f t="shared" si="135"/>
        <v/>
      </c>
      <c r="MN78" s="4" t="str">
        <f t="shared" si="136"/>
        <v/>
      </c>
      <c r="MO78" s="4" t="str">
        <f t="shared" si="137"/>
        <v/>
      </c>
      <c r="MP78" s="4" t="str">
        <f t="shared" si="138"/>
        <v/>
      </c>
      <c r="MQ78" s="4" t="str">
        <f t="shared" si="139"/>
        <v/>
      </c>
      <c r="MR78" s="4" t="str">
        <f t="shared" si="140"/>
        <v/>
      </c>
      <c r="MS78" s="4" t="str">
        <f t="shared" si="141"/>
        <v/>
      </c>
      <c r="MT78" s="4" t="str">
        <f t="shared" si="142"/>
        <v/>
      </c>
      <c r="MU78" s="4" t="str">
        <f t="shared" si="143"/>
        <v/>
      </c>
      <c r="MV78" s="4" t="str">
        <f t="shared" si="144"/>
        <v/>
      </c>
      <c r="MW78" s="4" t="str">
        <f t="shared" si="145"/>
        <v/>
      </c>
      <c r="MX78" s="4" t="str">
        <f t="shared" si="146"/>
        <v/>
      </c>
      <c r="MY78" s="4" t="str">
        <f t="shared" si="147"/>
        <v/>
      </c>
      <c r="MZ78" s="4" t="str">
        <f t="shared" si="148"/>
        <v/>
      </c>
      <c r="NA78" s="4" t="str">
        <f t="shared" si="149"/>
        <v/>
      </c>
      <c r="NB78" s="4" t="str">
        <f t="shared" si="150"/>
        <v/>
      </c>
      <c r="NC78" s="4" t="str">
        <f t="shared" si="151"/>
        <v/>
      </c>
      <c r="ND78" s="4" t="str">
        <f t="shared" si="152"/>
        <v/>
      </c>
      <c r="NE78" s="4" t="str">
        <f t="shared" si="153"/>
        <v/>
      </c>
      <c r="NF78" s="4" t="str">
        <f t="shared" si="154"/>
        <v/>
      </c>
      <c r="NG78" s="4" t="str">
        <f t="shared" si="155"/>
        <v/>
      </c>
      <c r="NH78" s="4" t="str">
        <f t="shared" si="156"/>
        <v/>
      </c>
      <c r="NI78" s="4" t="str">
        <f t="shared" si="157"/>
        <v/>
      </c>
      <c r="NJ78" s="4" t="str">
        <f t="shared" si="158"/>
        <v/>
      </c>
      <c r="NK78" s="4" t="str">
        <f t="shared" si="159"/>
        <v/>
      </c>
      <c r="NL78" s="4" t="str">
        <f t="shared" si="160"/>
        <v/>
      </c>
      <c r="NM78" s="4" t="str">
        <f t="shared" si="161"/>
        <v/>
      </c>
      <c r="NN78" s="4" t="str">
        <f t="shared" si="162"/>
        <v/>
      </c>
      <c r="NO78" s="4" t="str">
        <f t="shared" si="163"/>
        <v/>
      </c>
      <c r="NP78" s="4" t="str">
        <f t="shared" si="164"/>
        <v/>
      </c>
      <c r="NQ78" s="4" t="str">
        <f t="shared" si="165"/>
        <v/>
      </c>
      <c r="NR78" s="4" t="str">
        <f t="shared" si="166"/>
        <v/>
      </c>
      <c r="NS78" s="4" t="str">
        <f t="shared" si="167"/>
        <v/>
      </c>
      <c r="NT78" s="4" t="str">
        <f t="shared" si="168"/>
        <v/>
      </c>
      <c r="NU78" s="4" t="str">
        <f t="shared" si="169"/>
        <v/>
      </c>
      <c r="NV78" s="4" t="str">
        <f t="shared" si="170"/>
        <v/>
      </c>
      <c r="NW78" s="4" t="str">
        <f t="shared" si="171"/>
        <v/>
      </c>
      <c r="NX78" s="4" t="str">
        <f t="shared" si="172"/>
        <v/>
      </c>
      <c r="NY78" s="4" t="str">
        <f t="shared" si="173"/>
        <v/>
      </c>
      <c r="NZ78" s="4" t="str">
        <f t="shared" si="174"/>
        <v/>
      </c>
      <c r="OA78" s="4" t="str">
        <f t="shared" si="175"/>
        <v/>
      </c>
      <c r="OB78" s="4" t="str">
        <f t="shared" si="176"/>
        <v/>
      </c>
      <c r="OC78" s="4" t="str">
        <f t="shared" si="177"/>
        <v/>
      </c>
      <c r="OD78" s="4" t="str">
        <f t="shared" si="178"/>
        <v/>
      </c>
      <c r="OE78" s="4" t="str">
        <f t="shared" si="179"/>
        <v/>
      </c>
      <c r="OF78" s="4" t="str">
        <f t="shared" si="180"/>
        <v/>
      </c>
      <c r="OG78" s="4" t="str">
        <f t="shared" si="181"/>
        <v/>
      </c>
      <c r="OH78" s="4" t="str">
        <f t="shared" si="182"/>
        <v/>
      </c>
      <c r="OI78" s="4" t="str">
        <f t="shared" si="183"/>
        <v/>
      </c>
      <c r="OJ78" s="4" t="str">
        <f t="shared" si="184"/>
        <v/>
      </c>
      <c r="OK78" s="4" t="str">
        <f t="shared" si="185"/>
        <v/>
      </c>
      <c r="OL78" s="4" t="str">
        <f t="shared" si="186"/>
        <v/>
      </c>
      <c r="OM78" s="4" t="str">
        <f t="shared" si="187"/>
        <v/>
      </c>
      <c r="ON78" s="4" t="str">
        <f t="shared" si="188"/>
        <v/>
      </c>
      <c r="OO78" s="4" t="str">
        <f t="shared" si="189"/>
        <v/>
      </c>
      <c r="OP78" s="4" t="str">
        <f t="shared" si="190"/>
        <v/>
      </c>
      <c r="OQ78" s="4" t="str">
        <f t="shared" si="191"/>
        <v/>
      </c>
      <c r="OR78" s="4" t="str">
        <f t="shared" si="192"/>
        <v/>
      </c>
      <c r="OS78" s="4" t="str">
        <f t="shared" si="193"/>
        <v/>
      </c>
      <c r="OT78" s="4" t="str">
        <f t="shared" si="194"/>
        <v/>
      </c>
      <c r="OU78" s="4" t="str">
        <f t="shared" si="195"/>
        <v/>
      </c>
      <c r="OV78" s="4" t="str">
        <f t="shared" si="196"/>
        <v/>
      </c>
      <c r="OW78" s="4" t="str">
        <f t="shared" si="197"/>
        <v/>
      </c>
      <c r="OX78" s="4" t="str">
        <f t="shared" si="198"/>
        <v/>
      </c>
      <c r="OY78" s="4" t="str">
        <f t="shared" si="199"/>
        <v/>
      </c>
      <c r="OZ78" s="4" t="str">
        <f t="shared" si="200"/>
        <v/>
      </c>
      <c r="PA78" s="4" t="str">
        <f t="shared" si="201"/>
        <v/>
      </c>
      <c r="PB78" s="4" t="str">
        <f t="shared" si="202"/>
        <v/>
      </c>
      <c r="PC78" s="4" t="str">
        <f t="shared" si="203"/>
        <v/>
      </c>
      <c r="PD78" s="4" t="str">
        <f t="shared" si="204"/>
        <v/>
      </c>
      <c r="PE78" s="4" t="str">
        <f t="shared" si="205"/>
        <v/>
      </c>
      <c r="PF78" s="4" t="str">
        <f t="shared" si="206"/>
        <v/>
      </c>
      <c r="PG78" s="4" t="str">
        <f t="shared" si="207"/>
        <v/>
      </c>
      <c r="PH78" s="4" t="str">
        <f t="shared" si="208"/>
        <v/>
      </c>
      <c r="PI78" s="4" t="str">
        <f t="shared" si="209"/>
        <v/>
      </c>
      <c r="PJ78" s="4" t="str">
        <f t="shared" si="210"/>
        <v/>
      </c>
      <c r="PK78" s="4" t="str">
        <f t="shared" si="211"/>
        <v/>
      </c>
      <c r="PL78" s="4" t="str">
        <f t="shared" si="212"/>
        <v/>
      </c>
      <c r="PM78" s="4" t="str">
        <f t="shared" si="213"/>
        <v/>
      </c>
      <c r="PN78" s="4" t="str">
        <f t="shared" si="214"/>
        <v/>
      </c>
      <c r="PO78" s="4" t="str">
        <f t="shared" si="215"/>
        <v/>
      </c>
      <c r="PP78" s="4" t="str">
        <f t="shared" si="216"/>
        <v/>
      </c>
      <c r="PQ78" s="4" t="str">
        <f t="shared" si="217"/>
        <v/>
      </c>
      <c r="PR78" s="4" t="str">
        <f t="shared" si="218"/>
        <v/>
      </c>
      <c r="PS78" s="4" t="str">
        <f t="shared" si="219"/>
        <v/>
      </c>
    </row>
    <row r="79">
      <c r="HI79" s="4" t="str">
        <f t="shared" si="2"/>
        <v/>
      </c>
      <c r="HJ79" s="4" t="str">
        <f t="shared" si="3"/>
        <v/>
      </c>
      <c r="HK79" s="4" t="str">
        <f t="shared" si="4"/>
        <v/>
      </c>
      <c r="HL79" s="4" t="str">
        <f t="shared" si="5"/>
        <v/>
      </c>
      <c r="HM79" s="4" t="str">
        <f t="shared" si="6"/>
        <v/>
      </c>
      <c r="HN79" s="4" t="str">
        <f t="shared" si="7"/>
        <v/>
      </c>
      <c r="HO79" s="4" t="str">
        <f t="shared" si="8"/>
        <v/>
      </c>
      <c r="HP79" s="4" t="str">
        <f t="shared" si="9"/>
        <v/>
      </c>
      <c r="HQ79" s="4" t="str">
        <f t="shared" si="10"/>
        <v/>
      </c>
      <c r="HR79" s="4" t="str">
        <f t="shared" si="11"/>
        <v/>
      </c>
      <c r="HS79" s="4" t="str">
        <f t="shared" si="12"/>
        <v/>
      </c>
      <c r="HT79" s="4" t="str">
        <f t="shared" si="13"/>
        <v/>
      </c>
      <c r="HU79" s="4" t="str">
        <f t="shared" si="14"/>
        <v/>
      </c>
      <c r="HV79" s="4" t="str">
        <f t="shared" si="15"/>
        <v/>
      </c>
      <c r="HW79" s="4" t="str">
        <f t="shared" si="16"/>
        <v/>
      </c>
      <c r="HX79" s="4" t="str">
        <f t="shared" si="17"/>
        <v/>
      </c>
      <c r="HY79" s="4" t="str">
        <f t="shared" si="18"/>
        <v/>
      </c>
      <c r="HZ79" s="4" t="str">
        <f t="shared" si="19"/>
        <v/>
      </c>
      <c r="IA79" s="4" t="str">
        <f t="shared" si="20"/>
        <v/>
      </c>
      <c r="IB79" s="4" t="str">
        <f t="shared" si="21"/>
        <v/>
      </c>
      <c r="IC79" s="4" t="str">
        <f t="shared" si="22"/>
        <v/>
      </c>
      <c r="ID79" s="4" t="str">
        <f t="shared" si="23"/>
        <v/>
      </c>
      <c r="IE79" s="4" t="str">
        <f t="shared" si="24"/>
        <v/>
      </c>
      <c r="IF79" s="4" t="str">
        <f t="shared" si="25"/>
        <v/>
      </c>
      <c r="IG79" s="4" t="str">
        <f t="shared" si="26"/>
        <v/>
      </c>
      <c r="IH79" s="4" t="str">
        <f t="shared" si="27"/>
        <v/>
      </c>
      <c r="II79" s="4" t="str">
        <f t="shared" si="28"/>
        <v/>
      </c>
      <c r="IJ79" s="4" t="str">
        <f t="shared" si="29"/>
        <v/>
      </c>
      <c r="IK79" s="4" t="str">
        <f t="shared" si="30"/>
        <v/>
      </c>
      <c r="IL79" s="4" t="str">
        <f t="shared" si="31"/>
        <v/>
      </c>
      <c r="IM79" s="4" t="str">
        <f t="shared" si="32"/>
        <v/>
      </c>
      <c r="IN79" s="4" t="str">
        <f t="shared" si="33"/>
        <v/>
      </c>
      <c r="IO79" s="4" t="str">
        <f t="shared" si="34"/>
        <v/>
      </c>
      <c r="IP79" s="4" t="str">
        <f t="shared" si="35"/>
        <v/>
      </c>
      <c r="IQ79" s="4" t="str">
        <f t="shared" si="36"/>
        <v/>
      </c>
      <c r="IR79" s="4" t="str">
        <f t="shared" si="37"/>
        <v/>
      </c>
      <c r="IS79" s="4" t="str">
        <f t="shared" si="38"/>
        <v/>
      </c>
      <c r="IT79" s="4" t="str">
        <f t="shared" si="39"/>
        <v/>
      </c>
      <c r="IU79" s="4" t="str">
        <f t="shared" si="40"/>
        <v/>
      </c>
      <c r="IV79" s="4" t="str">
        <f t="shared" si="41"/>
        <v/>
      </c>
      <c r="IW79" s="4" t="str">
        <f t="shared" si="42"/>
        <v/>
      </c>
      <c r="IX79" s="4" t="str">
        <f t="shared" si="43"/>
        <v/>
      </c>
      <c r="IY79" s="4" t="str">
        <f t="shared" si="44"/>
        <v/>
      </c>
      <c r="IZ79" s="4" t="str">
        <f t="shared" si="45"/>
        <v/>
      </c>
      <c r="JA79" s="4" t="str">
        <f t="shared" ref="JA79:JB79" si="295">if(ISERROR(SEARCH("Higher Education",BB79)),"","810")</f>
        <v/>
      </c>
      <c r="JB79" s="4" t="str">
        <f t="shared" si="295"/>
        <v/>
      </c>
      <c r="JC79" s="4" t="str">
        <f t="shared" si="47"/>
        <v/>
      </c>
      <c r="JD79" s="4" t="str">
        <f t="shared" si="48"/>
        <v/>
      </c>
      <c r="JE79" s="4" t="str">
        <f t="shared" si="49"/>
        <v/>
      </c>
      <c r="JF79" s="4" t="str">
        <f t="shared" si="50"/>
        <v/>
      </c>
      <c r="JG79" s="4" t="str">
        <f t="shared" si="51"/>
        <v/>
      </c>
      <c r="JH79" s="4" t="str">
        <f t="shared" si="52"/>
        <v/>
      </c>
      <c r="JI79" s="4" t="str">
        <f t="shared" si="53"/>
        <v/>
      </c>
      <c r="JJ79" s="4" t="str">
        <f t="shared" si="54"/>
        <v/>
      </c>
      <c r="JK79" s="4" t="str">
        <f t="shared" si="55"/>
        <v/>
      </c>
      <c r="JL79" s="4" t="str">
        <f t="shared" si="56"/>
        <v/>
      </c>
      <c r="JM79" s="4" t="str">
        <f t="shared" si="57"/>
        <v/>
      </c>
      <c r="JN79" s="4" t="str">
        <f t="shared" si="58"/>
        <v/>
      </c>
      <c r="JO79" s="4" t="str">
        <f t="shared" si="59"/>
        <v/>
      </c>
      <c r="JP79" s="4" t="str">
        <f t="shared" si="60"/>
        <v/>
      </c>
      <c r="JQ79" s="4" t="str">
        <f t="shared" si="61"/>
        <v/>
      </c>
      <c r="JR79" s="4" t="str">
        <f t="shared" si="62"/>
        <v/>
      </c>
      <c r="JS79" s="4" t="str">
        <f t="shared" si="63"/>
        <v/>
      </c>
      <c r="JT79" s="4" t="str">
        <f t="shared" si="64"/>
        <v/>
      </c>
      <c r="JU79" s="4" t="str">
        <f t="shared" si="65"/>
        <v/>
      </c>
      <c r="JV79" s="4" t="str">
        <f t="shared" si="66"/>
        <v/>
      </c>
      <c r="JW79" s="4" t="str">
        <f t="shared" si="67"/>
        <v/>
      </c>
      <c r="JX79" s="4" t="str">
        <f t="shared" si="68"/>
        <v/>
      </c>
      <c r="JY79" s="4" t="str">
        <f t="shared" si="69"/>
        <v/>
      </c>
      <c r="JZ79" s="4" t="str">
        <f t="shared" si="70"/>
        <v/>
      </c>
      <c r="KA79" s="4" t="str">
        <f t="shared" si="71"/>
        <v/>
      </c>
      <c r="KB79" s="4" t="str">
        <f t="shared" si="72"/>
        <v/>
      </c>
      <c r="KC79" s="4" t="str">
        <f t="shared" si="73"/>
        <v/>
      </c>
      <c r="KD79" s="4" t="str">
        <f t="shared" si="74"/>
        <v/>
      </c>
      <c r="KE79" s="4" t="str">
        <f t="shared" si="75"/>
        <v/>
      </c>
      <c r="KF79" s="4" t="str">
        <f t="shared" si="76"/>
        <v/>
      </c>
      <c r="KG79" s="4" t="str">
        <f t="shared" si="77"/>
        <v/>
      </c>
      <c r="KH79" s="4" t="str">
        <f t="shared" si="78"/>
        <v/>
      </c>
      <c r="KI79" s="4" t="str">
        <f t="shared" si="79"/>
        <v/>
      </c>
      <c r="KJ79" s="4" t="str">
        <f t="shared" si="80"/>
        <v/>
      </c>
      <c r="KK79" s="4" t="str">
        <f t="shared" si="81"/>
        <v/>
      </c>
      <c r="KL79" s="4" t="str">
        <f t="shared" si="82"/>
        <v/>
      </c>
      <c r="KM79" s="4" t="str">
        <f t="shared" si="83"/>
        <v/>
      </c>
      <c r="KN79" s="4" t="str">
        <f t="shared" si="84"/>
        <v/>
      </c>
      <c r="KO79" s="4" t="str">
        <f t="shared" si="85"/>
        <v/>
      </c>
      <c r="KP79" s="4" t="str">
        <f t="shared" si="86"/>
        <v/>
      </c>
      <c r="KQ79" s="4" t="str">
        <f t="shared" si="87"/>
        <v/>
      </c>
      <c r="KR79" s="4" t="str">
        <f t="shared" si="88"/>
        <v/>
      </c>
      <c r="KS79" s="4" t="str">
        <f t="shared" si="89"/>
        <v/>
      </c>
      <c r="KT79" s="4" t="str">
        <f t="shared" si="90"/>
        <v/>
      </c>
      <c r="KU79" s="4" t="str">
        <f t="shared" si="91"/>
        <v/>
      </c>
      <c r="KV79" s="4" t="str">
        <f t="shared" si="92"/>
        <v/>
      </c>
      <c r="KW79" s="4" t="str">
        <f t="shared" si="93"/>
        <v/>
      </c>
      <c r="KX79" s="4" t="str">
        <f t="shared" si="94"/>
        <v/>
      </c>
      <c r="KY79" s="4" t="str">
        <f t="shared" si="95"/>
        <v/>
      </c>
      <c r="KZ79" s="4" t="str">
        <f t="shared" si="96"/>
        <v/>
      </c>
      <c r="LA79" s="4" t="str">
        <f t="shared" si="97"/>
        <v/>
      </c>
      <c r="LB79" s="4" t="str">
        <f t="shared" si="98"/>
        <v/>
      </c>
      <c r="LC79" s="4" t="str">
        <f t="shared" si="99"/>
        <v/>
      </c>
      <c r="LD79" s="4" t="str">
        <f t="shared" si="100"/>
        <v/>
      </c>
      <c r="LE79" s="4" t="str">
        <f t="shared" si="101"/>
        <v/>
      </c>
      <c r="LF79" s="4" t="str">
        <f t="shared" si="102"/>
        <v/>
      </c>
      <c r="LG79" s="4" t="str">
        <f t="shared" si="103"/>
        <v/>
      </c>
      <c r="LH79" s="4" t="str">
        <f t="shared" si="104"/>
        <v/>
      </c>
      <c r="LI79" s="4" t="str">
        <f t="shared" si="105"/>
        <v/>
      </c>
      <c r="LJ79" s="4" t="str">
        <f t="shared" si="106"/>
        <v/>
      </c>
      <c r="LK79" s="4" t="str">
        <f t="shared" si="107"/>
        <v/>
      </c>
      <c r="LL79" s="4" t="str">
        <f t="shared" si="108"/>
        <v/>
      </c>
      <c r="LM79" s="4" t="str">
        <f t="shared" si="109"/>
        <v/>
      </c>
      <c r="LN79" s="4" t="str">
        <f t="shared" si="110"/>
        <v/>
      </c>
      <c r="LO79" s="4" t="str">
        <f t="shared" si="111"/>
        <v/>
      </c>
      <c r="LP79" s="4" t="str">
        <f t="shared" si="112"/>
        <v/>
      </c>
      <c r="LQ79" s="4" t="str">
        <f t="shared" si="113"/>
        <v/>
      </c>
      <c r="LR79" s="4" t="str">
        <f t="shared" si="114"/>
        <v/>
      </c>
      <c r="LS79" s="4" t="str">
        <f t="shared" si="115"/>
        <v/>
      </c>
      <c r="LT79" s="4" t="str">
        <f t="shared" si="116"/>
        <v/>
      </c>
      <c r="LU79" s="4" t="str">
        <f t="shared" si="117"/>
        <v/>
      </c>
      <c r="LV79" s="4" t="str">
        <f t="shared" si="118"/>
        <v/>
      </c>
      <c r="LW79" s="4" t="str">
        <f t="shared" si="119"/>
        <v/>
      </c>
      <c r="LX79" s="4" t="str">
        <f t="shared" si="120"/>
        <v/>
      </c>
      <c r="LY79" s="4" t="str">
        <f t="shared" si="121"/>
        <v/>
      </c>
      <c r="LZ79" s="4" t="str">
        <f t="shared" si="122"/>
        <v/>
      </c>
      <c r="MA79" s="4" t="str">
        <f t="shared" si="123"/>
        <v/>
      </c>
      <c r="MB79" s="4" t="str">
        <f t="shared" si="124"/>
        <v/>
      </c>
      <c r="MC79" s="4" t="str">
        <f t="shared" si="125"/>
        <v/>
      </c>
      <c r="MD79" s="4" t="str">
        <f t="shared" si="126"/>
        <v/>
      </c>
      <c r="ME79" s="4" t="str">
        <f t="shared" si="127"/>
        <v/>
      </c>
      <c r="MF79" s="4" t="str">
        <f t="shared" si="128"/>
        <v/>
      </c>
      <c r="MG79" s="4" t="str">
        <f t="shared" si="129"/>
        <v/>
      </c>
      <c r="MH79" s="4" t="str">
        <f t="shared" si="130"/>
        <v/>
      </c>
      <c r="MI79" s="4" t="str">
        <f t="shared" si="131"/>
        <v/>
      </c>
      <c r="MJ79" s="4" t="str">
        <f t="shared" si="132"/>
        <v/>
      </c>
      <c r="MK79" s="4" t="str">
        <f t="shared" si="133"/>
        <v/>
      </c>
      <c r="ML79" s="4" t="str">
        <f t="shared" si="134"/>
        <v/>
      </c>
      <c r="MM79" s="4" t="str">
        <f t="shared" si="135"/>
        <v/>
      </c>
      <c r="MN79" s="4" t="str">
        <f t="shared" si="136"/>
        <v/>
      </c>
      <c r="MO79" s="4" t="str">
        <f t="shared" si="137"/>
        <v/>
      </c>
      <c r="MP79" s="4" t="str">
        <f t="shared" si="138"/>
        <v/>
      </c>
      <c r="MQ79" s="4" t="str">
        <f t="shared" si="139"/>
        <v/>
      </c>
      <c r="MR79" s="4" t="str">
        <f t="shared" si="140"/>
        <v/>
      </c>
      <c r="MS79" s="4" t="str">
        <f t="shared" si="141"/>
        <v/>
      </c>
      <c r="MT79" s="4" t="str">
        <f t="shared" si="142"/>
        <v/>
      </c>
      <c r="MU79" s="4" t="str">
        <f t="shared" si="143"/>
        <v/>
      </c>
      <c r="MV79" s="4" t="str">
        <f t="shared" si="144"/>
        <v/>
      </c>
      <c r="MW79" s="4" t="str">
        <f t="shared" si="145"/>
        <v/>
      </c>
      <c r="MX79" s="4" t="str">
        <f t="shared" si="146"/>
        <v/>
      </c>
      <c r="MY79" s="4" t="str">
        <f t="shared" si="147"/>
        <v/>
      </c>
      <c r="MZ79" s="4" t="str">
        <f t="shared" si="148"/>
        <v/>
      </c>
      <c r="NA79" s="4" t="str">
        <f t="shared" si="149"/>
        <v/>
      </c>
      <c r="NB79" s="4" t="str">
        <f t="shared" si="150"/>
        <v/>
      </c>
      <c r="NC79" s="4" t="str">
        <f t="shared" si="151"/>
        <v/>
      </c>
      <c r="ND79" s="4" t="str">
        <f t="shared" si="152"/>
        <v/>
      </c>
      <c r="NE79" s="4" t="str">
        <f t="shared" si="153"/>
        <v/>
      </c>
      <c r="NF79" s="4" t="str">
        <f t="shared" si="154"/>
        <v/>
      </c>
      <c r="NG79" s="4" t="str">
        <f t="shared" si="155"/>
        <v/>
      </c>
      <c r="NH79" s="4" t="str">
        <f t="shared" si="156"/>
        <v/>
      </c>
      <c r="NI79" s="4" t="str">
        <f t="shared" si="157"/>
        <v/>
      </c>
      <c r="NJ79" s="4" t="str">
        <f t="shared" si="158"/>
        <v/>
      </c>
      <c r="NK79" s="4" t="str">
        <f t="shared" si="159"/>
        <v/>
      </c>
      <c r="NL79" s="4" t="str">
        <f t="shared" si="160"/>
        <v/>
      </c>
      <c r="NM79" s="4" t="str">
        <f t="shared" si="161"/>
        <v/>
      </c>
      <c r="NN79" s="4" t="str">
        <f t="shared" si="162"/>
        <v/>
      </c>
      <c r="NO79" s="4" t="str">
        <f t="shared" si="163"/>
        <v/>
      </c>
      <c r="NP79" s="4" t="str">
        <f t="shared" si="164"/>
        <v/>
      </c>
      <c r="NQ79" s="4" t="str">
        <f t="shared" si="165"/>
        <v/>
      </c>
      <c r="NR79" s="4" t="str">
        <f t="shared" si="166"/>
        <v/>
      </c>
      <c r="NS79" s="4" t="str">
        <f t="shared" si="167"/>
        <v/>
      </c>
      <c r="NT79" s="4" t="str">
        <f t="shared" si="168"/>
        <v/>
      </c>
      <c r="NU79" s="4" t="str">
        <f t="shared" si="169"/>
        <v/>
      </c>
      <c r="NV79" s="4" t="str">
        <f t="shared" si="170"/>
        <v/>
      </c>
      <c r="NW79" s="4" t="str">
        <f t="shared" si="171"/>
        <v/>
      </c>
      <c r="NX79" s="4" t="str">
        <f t="shared" si="172"/>
        <v/>
      </c>
      <c r="NY79" s="4" t="str">
        <f t="shared" si="173"/>
        <v/>
      </c>
      <c r="NZ79" s="4" t="str">
        <f t="shared" si="174"/>
        <v/>
      </c>
      <c r="OA79" s="4" t="str">
        <f t="shared" si="175"/>
        <v/>
      </c>
      <c r="OB79" s="4" t="str">
        <f t="shared" si="176"/>
        <v/>
      </c>
      <c r="OC79" s="4" t="str">
        <f t="shared" si="177"/>
        <v/>
      </c>
      <c r="OD79" s="4" t="str">
        <f t="shared" si="178"/>
        <v/>
      </c>
      <c r="OE79" s="4" t="str">
        <f t="shared" si="179"/>
        <v/>
      </c>
      <c r="OF79" s="4" t="str">
        <f t="shared" si="180"/>
        <v/>
      </c>
      <c r="OG79" s="4" t="str">
        <f t="shared" si="181"/>
        <v/>
      </c>
      <c r="OH79" s="4" t="str">
        <f t="shared" si="182"/>
        <v/>
      </c>
      <c r="OI79" s="4" t="str">
        <f t="shared" si="183"/>
        <v/>
      </c>
      <c r="OJ79" s="4" t="str">
        <f t="shared" si="184"/>
        <v/>
      </c>
      <c r="OK79" s="4" t="str">
        <f t="shared" si="185"/>
        <v/>
      </c>
      <c r="OL79" s="4" t="str">
        <f t="shared" si="186"/>
        <v/>
      </c>
      <c r="OM79" s="4" t="str">
        <f t="shared" si="187"/>
        <v/>
      </c>
      <c r="ON79" s="4" t="str">
        <f t="shared" si="188"/>
        <v/>
      </c>
      <c r="OO79" s="4" t="str">
        <f t="shared" si="189"/>
        <v/>
      </c>
      <c r="OP79" s="4" t="str">
        <f t="shared" si="190"/>
        <v/>
      </c>
      <c r="OQ79" s="4" t="str">
        <f t="shared" si="191"/>
        <v/>
      </c>
      <c r="OR79" s="4" t="str">
        <f t="shared" si="192"/>
        <v/>
      </c>
      <c r="OS79" s="4" t="str">
        <f t="shared" si="193"/>
        <v/>
      </c>
      <c r="OT79" s="4" t="str">
        <f t="shared" si="194"/>
        <v/>
      </c>
      <c r="OU79" s="4" t="str">
        <f t="shared" si="195"/>
        <v/>
      </c>
      <c r="OV79" s="4" t="str">
        <f t="shared" si="196"/>
        <v/>
      </c>
      <c r="OW79" s="4" t="str">
        <f t="shared" si="197"/>
        <v/>
      </c>
      <c r="OX79" s="4" t="str">
        <f t="shared" si="198"/>
        <v/>
      </c>
      <c r="OY79" s="4" t="str">
        <f t="shared" si="199"/>
        <v/>
      </c>
      <c r="OZ79" s="4" t="str">
        <f t="shared" si="200"/>
        <v/>
      </c>
      <c r="PA79" s="4" t="str">
        <f t="shared" si="201"/>
        <v/>
      </c>
      <c r="PB79" s="4" t="str">
        <f t="shared" si="202"/>
        <v/>
      </c>
      <c r="PC79" s="4" t="str">
        <f t="shared" si="203"/>
        <v/>
      </c>
      <c r="PD79" s="4" t="str">
        <f t="shared" si="204"/>
        <v/>
      </c>
      <c r="PE79" s="4" t="str">
        <f t="shared" si="205"/>
        <v/>
      </c>
      <c r="PF79" s="4" t="str">
        <f t="shared" si="206"/>
        <v/>
      </c>
      <c r="PG79" s="4" t="str">
        <f t="shared" si="207"/>
        <v/>
      </c>
      <c r="PH79" s="4" t="str">
        <f t="shared" si="208"/>
        <v/>
      </c>
      <c r="PI79" s="4" t="str">
        <f t="shared" si="209"/>
        <v/>
      </c>
      <c r="PJ79" s="4" t="str">
        <f t="shared" si="210"/>
        <v/>
      </c>
      <c r="PK79" s="4" t="str">
        <f t="shared" si="211"/>
        <v/>
      </c>
      <c r="PL79" s="4" t="str">
        <f t="shared" si="212"/>
        <v/>
      </c>
      <c r="PM79" s="4" t="str">
        <f t="shared" si="213"/>
        <v/>
      </c>
      <c r="PN79" s="4" t="str">
        <f t="shared" si="214"/>
        <v/>
      </c>
      <c r="PO79" s="4" t="str">
        <f t="shared" si="215"/>
        <v/>
      </c>
      <c r="PP79" s="4" t="str">
        <f t="shared" si="216"/>
        <v/>
      </c>
      <c r="PQ79" s="4" t="str">
        <f t="shared" si="217"/>
        <v/>
      </c>
      <c r="PR79" s="4" t="str">
        <f t="shared" si="218"/>
        <v/>
      </c>
      <c r="PS79" s="4" t="str">
        <f t="shared" si="219"/>
        <v/>
      </c>
    </row>
    <row r="80">
      <c r="HI80" s="4" t="str">
        <f t="shared" si="2"/>
        <v/>
      </c>
      <c r="HJ80" s="4" t="str">
        <f t="shared" si="3"/>
        <v/>
      </c>
      <c r="HK80" s="4" t="str">
        <f t="shared" si="4"/>
        <v/>
      </c>
      <c r="HL80" s="4" t="str">
        <f t="shared" si="5"/>
        <v/>
      </c>
      <c r="HM80" s="4" t="str">
        <f t="shared" si="6"/>
        <v/>
      </c>
      <c r="HN80" s="4" t="str">
        <f t="shared" si="7"/>
        <v/>
      </c>
      <c r="HO80" s="4" t="str">
        <f t="shared" si="8"/>
        <v/>
      </c>
      <c r="HP80" s="4" t="str">
        <f t="shared" si="9"/>
        <v/>
      </c>
      <c r="HQ80" s="4" t="str">
        <f t="shared" si="10"/>
        <v/>
      </c>
      <c r="HR80" s="4" t="str">
        <f t="shared" si="11"/>
        <v/>
      </c>
      <c r="HS80" s="4" t="str">
        <f t="shared" si="12"/>
        <v/>
      </c>
      <c r="HT80" s="4" t="str">
        <f t="shared" si="13"/>
        <v/>
      </c>
      <c r="HU80" s="4" t="str">
        <f t="shared" si="14"/>
        <v/>
      </c>
      <c r="HV80" s="4" t="str">
        <f t="shared" si="15"/>
        <v/>
      </c>
      <c r="HW80" s="4" t="str">
        <f t="shared" si="16"/>
        <v/>
      </c>
      <c r="HX80" s="4" t="str">
        <f t="shared" si="17"/>
        <v/>
      </c>
      <c r="HY80" s="4" t="str">
        <f t="shared" si="18"/>
        <v/>
      </c>
      <c r="HZ80" s="4" t="str">
        <f t="shared" si="19"/>
        <v/>
      </c>
      <c r="IA80" s="4" t="str">
        <f t="shared" si="20"/>
        <v/>
      </c>
      <c r="IB80" s="4" t="str">
        <f t="shared" si="21"/>
        <v/>
      </c>
      <c r="IC80" s="4" t="str">
        <f t="shared" si="22"/>
        <v/>
      </c>
      <c r="ID80" s="4" t="str">
        <f t="shared" si="23"/>
        <v/>
      </c>
      <c r="IE80" s="4" t="str">
        <f t="shared" si="24"/>
        <v/>
      </c>
      <c r="IF80" s="4" t="str">
        <f t="shared" si="25"/>
        <v/>
      </c>
      <c r="IG80" s="4" t="str">
        <f t="shared" si="26"/>
        <v/>
      </c>
      <c r="IH80" s="4" t="str">
        <f t="shared" si="27"/>
        <v/>
      </c>
      <c r="II80" s="4" t="str">
        <f t="shared" si="28"/>
        <v/>
      </c>
      <c r="IJ80" s="4" t="str">
        <f t="shared" si="29"/>
        <v/>
      </c>
      <c r="IK80" s="4" t="str">
        <f t="shared" si="30"/>
        <v/>
      </c>
      <c r="IL80" s="4" t="str">
        <f t="shared" si="31"/>
        <v/>
      </c>
      <c r="IM80" s="4" t="str">
        <f t="shared" si="32"/>
        <v/>
      </c>
      <c r="IN80" s="4" t="str">
        <f t="shared" si="33"/>
        <v/>
      </c>
      <c r="IO80" s="4" t="str">
        <f t="shared" si="34"/>
        <v/>
      </c>
      <c r="IP80" s="4" t="str">
        <f t="shared" si="35"/>
        <v/>
      </c>
      <c r="IQ80" s="4" t="str">
        <f t="shared" si="36"/>
        <v/>
      </c>
      <c r="IR80" s="4" t="str">
        <f t="shared" si="37"/>
        <v/>
      </c>
      <c r="IS80" s="4" t="str">
        <f t="shared" si="38"/>
        <v/>
      </c>
      <c r="IT80" s="4" t="str">
        <f t="shared" si="39"/>
        <v/>
      </c>
      <c r="IU80" s="4" t="str">
        <f t="shared" si="40"/>
        <v/>
      </c>
      <c r="IV80" s="4" t="str">
        <f t="shared" si="41"/>
        <v/>
      </c>
      <c r="IW80" s="4" t="str">
        <f t="shared" si="42"/>
        <v/>
      </c>
      <c r="IX80" s="4" t="str">
        <f t="shared" si="43"/>
        <v/>
      </c>
      <c r="IY80" s="4" t="str">
        <f t="shared" si="44"/>
        <v/>
      </c>
      <c r="IZ80" s="4" t="str">
        <f t="shared" si="45"/>
        <v/>
      </c>
      <c r="JA80" s="4" t="str">
        <f t="shared" ref="JA80:JB80" si="296">if(ISERROR(SEARCH("Higher Education",BB80)),"","810")</f>
        <v/>
      </c>
      <c r="JB80" s="4" t="str">
        <f t="shared" si="296"/>
        <v/>
      </c>
      <c r="JC80" s="4" t="str">
        <f t="shared" si="47"/>
        <v/>
      </c>
      <c r="JD80" s="4" t="str">
        <f t="shared" si="48"/>
        <v/>
      </c>
      <c r="JE80" s="4" t="str">
        <f t="shared" si="49"/>
        <v/>
      </c>
      <c r="JF80" s="4" t="str">
        <f t="shared" si="50"/>
        <v/>
      </c>
      <c r="JG80" s="4" t="str">
        <f t="shared" si="51"/>
        <v/>
      </c>
      <c r="JH80" s="4" t="str">
        <f t="shared" si="52"/>
        <v/>
      </c>
      <c r="JI80" s="4" t="str">
        <f t="shared" si="53"/>
        <v/>
      </c>
      <c r="JJ80" s="4" t="str">
        <f t="shared" si="54"/>
        <v/>
      </c>
      <c r="JK80" s="4" t="str">
        <f t="shared" si="55"/>
        <v/>
      </c>
      <c r="JL80" s="4" t="str">
        <f t="shared" si="56"/>
        <v/>
      </c>
      <c r="JM80" s="4" t="str">
        <f t="shared" si="57"/>
        <v/>
      </c>
      <c r="JN80" s="4" t="str">
        <f t="shared" si="58"/>
        <v/>
      </c>
      <c r="JO80" s="4" t="str">
        <f t="shared" si="59"/>
        <v/>
      </c>
      <c r="JP80" s="4" t="str">
        <f t="shared" si="60"/>
        <v/>
      </c>
      <c r="JQ80" s="4" t="str">
        <f t="shared" si="61"/>
        <v/>
      </c>
      <c r="JR80" s="4" t="str">
        <f t="shared" si="62"/>
        <v/>
      </c>
      <c r="JS80" s="4" t="str">
        <f t="shared" si="63"/>
        <v/>
      </c>
      <c r="JT80" s="4" t="str">
        <f t="shared" si="64"/>
        <v/>
      </c>
      <c r="JU80" s="4" t="str">
        <f t="shared" si="65"/>
        <v/>
      </c>
      <c r="JV80" s="4" t="str">
        <f t="shared" si="66"/>
        <v/>
      </c>
      <c r="JW80" s="4" t="str">
        <f t="shared" si="67"/>
        <v/>
      </c>
      <c r="JX80" s="4" t="str">
        <f t="shared" si="68"/>
        <v/>
      </c>
      <c r="JY80" s="4" t="str">
        <f t="shared" si="69"/>
        <v/>
      </c>
      <c r="JZ80" s="4" t="str">
        <f t="shared" si="70"/>
        <v/>
      </c>
      <c r="KA80" s="4" t="str">
        <f t="shared" si="71"/>
        <v/>
      </c>
      <c r="KB80" s="4" t="str">
        <f t="shared" si="72"/>
        <v/>
      </c>
      <c r="KC80" s="4" t="str">
        <f t="shared" si="73"/>
        <v/>
      </c>
      <c r="KD80" s="4" t="str">
        <f t="shared" si="74"/>
        <v/>
      </c>
      <c r="KE80" s="4" t="str">
        <f t="shared" si="75"/>
        <v/>
      </c>
      <c r="KF80" s="4" t="str">
        <f t="shared" si="76"/>
        <v/>
      </c>
      <c r="KG80" s="4" t="str">
        <f t="shared" si="77"/>
        <v/>
      </c>
      <c r="KH80" s="4" t="str">
        <f t="shared" si="78"/>
        <v/>
      </c>
      <c r="KI80" s="4" t="str">
        <f t="shared" si="79"/>
        <v/>
      </c>
      <c r="KJ80" s="4" t="str">
        <f t="shared" si="80"/>
        <v/>
      </c>
      <c r="KK80" s="4" t="str">
        <f t="shared" si="81"/>
        <v/>
      </c>
      <c r="KL80" s="4" t="str">
        <f t="shared" si="82"/>
        <v/>
      </c>
      <c r="KM80" s="4" t="str">
        <f t="shared" si="83"/>
        <v/>
      </c>
      <c r="KN80" s="4" t="str">
        <f t="shared" si="84"/>
        <v/>
      </c>
      <c r="KO80" s="4" t="str">
        <f t="shared" si="85"/>
        <v/>
      </c>
      <c r="KP80" s="4" t="str">
        <f t="shared" si="86"/>
        <v/>
      </c>
      <c r="KQ80" s="4" t="str">
        <f t="shared" si="87"/>
        <v/>
      </c>
      <c r="KR80" s="4" t="str">
        <f t="shared" si="88"/>
        <v/>
      </c>
      <c r="KS80" s="4" t="str">
        <f t="shared" si="89"/>
        <v/>
      </c>
      <c r="KT80" s="4" t="str">
        <f t="shared" si="90"/>
        <v/>
      </c>
      <c r="KU80" s="4" t="str">
        <f t="shared" si="91"/>
        <v/>
      </c>
      <c r="KV80" s="4" t="str">
        <f t="shared" si="92"/>
        <v/>
      </c>
      <c r="KW80" s="4" t="str">
        <f t="shared" si="93"/>
        <v/>
      </c>
      <c r="KX80" s="4" t="str">
        <f t="shared" si="94"/>
        <v/>
      </c>
      <c r="KY80" s="4" t="str">
        <f t="shared" si="95"/>
        <v/>
      </c>
      <c r="KZ80" s="4" t="str">
        <f t="shared" si="96"/>
        <v/>
      </c>
      <c r="LA80" s="4" t="str">
        <f t="shared" si="97"/>
        <v/>
      </c>
      <c r="LB80" s="4" t="str">
        <f t="shared" si="98"/>
        <v/>
      </c>
      <c r="LC80" s="4" t="str">
        <f t="shared" si="99"/>
        <v/>
      </c>
      <c r="LD80" s="4" t="str">
        <f t="shared" si="100"/>
        <v/>
      </c>
      <c r="LE80" s="4" t="str">
        <f t="shared" si="101"/>
        <v/>
      </c>
      <c r="LF80" s="4" t="str">
        <f t="shared" si="102"/>
        <v/>
      </c>
      <c r="LG80" s="4" t="str">
        <f t="shared" si="103"/>
        <v/>
      </c>
      <c r="LH80" s="4" t="str">
        <f t="shared" si="104"/>
        <v/>
      </c>
      <c r="LI80" s="4" t="str">
        <f t="shared" si="105"/>
        <v/>
      </c>
      <c r="LJ80" s="4" t="str">
        <f t="shared" si="106"/>
        <v/>
      </c>
      <c r="LK80" s="4" t="str">
        <f t="shared" si="107"/>
        <v/>
      </c>
      <c r="LL80" s="4" t="str">
        <f t="shared" si="108"/>
        <v/>
      </c>
      <c r="LM80" s="4" t="str">
        <f t="shared" si="109"/>
        <v/>
      </c>
      <c r="LN80" s="4" t="str">
        <f t="shared" si="110"/>
        <v/>
      </c>
      <c r="LO80" s="4" t="str">
        <f t="shared" si="111"/>
        <v/>
      </c>
      <c r="LP80" s="4" t="str">
        <f t="shared" si="112"/>
        <v/>
      </c>
      <c r="LQ80" s="4" t="str">
        <f t="shared" si="113"/>
        <v/>
      </c>
      <c r="LR80" s="4" t="str">
        <f t="shared" si="114"/>
        <v/>
      </c>
      <c r="LS80" s="4" t="str">
        <f t="shared" si="115"/>
        <v/>
      </c>
      <c r="LT80" s="4" t="str">
        <f t="shared" si="116"/>
        <v/>
      </c>
      <c r="LU80" s="4" t="str">
        <f t="shared" si="117"/>
        <v/>
      </c>
      <c r="LV80" s="4" t="str">
        <f t="shared" si="118"/>
        <v/>
      </c>
      <c r="LW80" s="4" t="str">
        <f t="shared" si="119"/>
        <v/>
      </c>
      <c r="LX80" s="4" t="str">
        <f t="shared" si="120"/>
        <v/>
      </c>
      <c r="LY80" s="4" t="str">
        <f t="shared" si="121"/>
        <v/>
      </c>
      <c r="LZ80" s="4" t="str">
        <f t="shared" si="122"/>
        <v/>
      </c>
      <c r="MA80" s="4" t="str">
        <f t="shared" si="123"/>
        <v/>
      </c>
      <c r="MB80" s="4" t="str">
        <f t="shared" si="124"/>
        <v/>
      </c>
      <c r="MC80" s="4" t="str">
        <f t="shared" si="125"/>
        <v/>
      </c>
      <c r="MD80" s="4" t="str">
        <f t="shared" si="126"/>
        <v/>
      </c>
      <c r="ME80" s="4" t="str">
        <f t="shared" si="127"/>
        <v/>
      </c>
      <c r="MF80" s="4" t="str">
        <f t="shared" si="128"/>
        <v/>
      </c>
      <c r="MG80" s="4" t="str">
        <f t="shared" si="129"/>
        <v/>
      </c>
      <c r="MH80" s="4" t="str">
        <f t="shared" si="130"/>
        <v/>
      </c>
      <c r="MI80" s="4" t="str">
        <f t="shared" si="131"/>
        <v/>
      </c>
      <c r="MJ80" s="4" t="str">
        <f t="shared" si="132"/>
        <v/>
      </c>
      <c r="MK80" s="4" t="str">
        <f t="shared" si="133"/>
        <v/>
      </c>
      <c r="ML80" s="4" t="str">
        <f t="shared" si="134"/>
        <v/>
      </c>
      <c r="MM80" s="4" t="str">
        <f t="shared" si="135"/>
        <v/>
      </c>
      <c r="MN80" s="4" t="str">
        <f t="shared" si="136"/>
        <v/>
      </c>
      <c r="MO80" s="4" t="str">
        <f t="shared" si="137"/>
        <v/>
      </c>
      <c r="MP80" s="4" t="str">
        <f t="shared" si="138"/>
        <v/>
      </c>
      <c r="MQ80" s="4" t="str">
        <f t="shared" si="139"/>
        <v/>
      </c>
      <c r="MR80" s="4" t="str">
        <f t="shared" si="140"/>
        <v/>
      </c>
      <c r="MS80" s="4" t="str">
        <f t="shared" si="141"/>
        <v/>
      </c>
      <c r="MT80" s="4" t="str">
        <f t="shared" si="142"/>
        <v/>
      </c>
      <c r="MU80" s="4" t="str">
        <f t="shared" si="143"/>
        <v/>
      </c>
      <c r="MV80" s="4" t="str">
        <f t="shared" si="144"/>
        <v/>
      </c>
      <c r="MW80" s="4" t="str">
        <f t="shared" si="145"/>
        <v/>
      </c>
      <c r="MX80" s="4" t="str">
        <f t="shared" si="146"/>
        <v/>
      </c>
      <c r="MY80" s="4" t="str">
        <f t="shared" si="147"/>
        <v/>
      </c>
      <c r="MZ80" s="4" t="str">
        <f t="shared" si="148"/>
        <v/>
      </c>
      <c r="NA80" s="4" t="str">
        <f t="shared" si="149"/>
        <v/>
      </c>
      <c r="NB80" s="4" t="str">
        <f t="shared" si="150"/>
        <v/>
      </c>
      <c r="NC80" s="4" t="str">
        <f t="shared" si="151"/>
        <v/>
      </c>
      <c r="ND80" s="4" t="str">
        <f t="shared" si="152"/>
        <v/>
      </c>
      <c r="NE80" s="4" t="str">
        <f t="shared" si="153"/>
        <v/>
      </c>
      <c r="NF80" s="4" t="str">
        <f t="shared" si="154"/>
        <v/>
      </c>
      <c r="NG80" s="4" t="str">
        <f t="shared" si="155"/>
        <v/>
      </c>
      <c r="NH80" s="4" t="str">
        <f t="shared" si="156"/>
        <v/>
      </c>
      <c r="NI80" s="4" t="str">
        <f t="shared" si="157"/>
        <v/>
      </c>
      <c r="NJ80" s="4" t="str">
        <f t="shared" si="158"/>
        <v/>
      </c>
      <c r="NK80" s="4" t="str">
        <f t="shared" si="159"/>
        <v/>
      </c>
      <c r="NL80" s="4" t="str">
        <f t="shared" si="160"/>
        <v/>
      </c>
      <c r="NM80" s="4" t="str">
        <f t="shared" si="161"/>
        <v/>
      </c>
      <c r="NN80" s="4" t="str">
        <f t="shared" si="162"/>
        <v/>
      </c>
      <c r="NO80" s="4" t="str">
        <f t="shared" si="163"/>
        <v/>
      </c>
      <c r="NP80" s="4" t="str">
        <f t="shared" si="164"/>
        <v/>
      </c>
      <c r="NQ80" s="4" t="str">
        <f t="shared" si="165"/>
        <v/>
      </c>
      <c r="NR80" s="4" t="str">
        <f t="shared" si="166"/>
        <v/>
      </c>
      <c r="NS80" s="4" t="str">
        <f t="shared" si="167"/>
        <v/>
      </c>
      <c r="NT80" s="4" t="str">
        <f t="shared" si="168"/>
        <v/>
      </c>
      <c r="NU80" s="4" t="str">
        <f t="shared" si="169"/>
        <v/>
      </c>
      <c r="NV80" s="4" t="str">
        <f t="shared" si="170"/>
        <v/>
      </c>
      <c r="NW80" s="4" t="str">
        <f t="shared" si="171"/>
        <v/>
      </c>
      <c r="NX80" s="4" t="str">
        <f t="shared" si="172"/>
        <v/>
      </c>
      <c r="NY80" s="4" t="str">
        <f t="shared" si="173"/>
        <v/>
      </c>
      <c r="NZ80" s="4" t="str">
        <f t="shared" si="174"/>
        <v/>
      </c>
      <c r="OA80" s="4" t="str">
        <f t="shared" si="175"/>
        <v/>
      </c>
      <c r="OB80" s="4" t="str">
        <f t="shared" si="176"/>
        <v/>
      </c>
      <c r="OC80" s="4" t="str">
        <f t="shared" si="177"/>
        <v/>
      </c>
      <c r="OD80" s="4" t="str">
        <f t="shared" si="178"/>
        <v/>
      </c>
      <c r="OE80" s="4" t="str">
        <f t="shared" si="179"/>
        <v/>
      </c>
      <c r="OF80" s="4" t="str">
        <f t="shared" si="180"/>
        <v/>
      </c>
      <c r="OG80" s="4" t="str">
        <f t="shared" si="181"/>
        <v/>
      </c>
      <c r="OH80" s="4" t="str">
        <f t="shared" si="182"/>
        <v/>
      </c>
      <c r="OI80" s="4" t="str">
        <f t="shared" si="183"/>
        <v/>
      </c>
      <c r="OJ80" s="4" t="str">
        <f t="shared" si="184"/>
        <v/>
      </c>
      <c r="OK80" s="4" t="str">
        <f t="shared" si="185"/>
        <v/>
      </c>
      <c r="OL80" s="4" t="str">
        <f t="shared" si="186"/>
        <v/>
      </c>
      <c r="OM80" s="4" t="str">
        <f t="shared" si="187"/>
        <v/>
      </c>
      <c r="ON80" s="4" t="str">
        <f t="shared" si="188"/>
        <v/>
      </c>
      <c r="OO80" s="4" t="str">
        <f t="shared" si="189"/>
        <v/>
      </c>
      <c r="OP80" s="4" t="str">
        <f t="shared" si="190"/>
        <v/>
      </c>
      <c r="OQ80" s="4" t="str">
        <f t="shared" si="191"/>
        <v/>
      </c>
      <c r="OR80" s="4" t="str">
        <f t="shared" si="192"/>
        <v/>
      </c>
      <c r="OS80" s="4" t="str">
        <f t="shared" si="193"/>
        <v/>
      </c>
      <c r="OT80" s="4" t="str">
        <f t="shared" si="194"/>
        <v/>
      </c>
      <c r="OU80" s="4" t="str">
        <f t="shared" si="195"/>
        <v/>
      </c>
      <c r="OV80" s="4" t="str">
        <f t="shared" si="196"/>
        <v/>
      </c>
      <c r="OW80" s="4" t="str">
        <f t="shared" si="197"/>
        <v/>
      </c>
      <c r="OX80" s="4" t="str">
        <f t="shared" si="198"/>
        <v/>
      </c>
      <c r="OY80" s="4" t="str">
        <f t="shared" si="199"/>
        <v/>
      </c>
      <c r="OZ80" s="4" t="str">
        <f t="shared" si="200"/>
        <v/>
      </c>
      <c r="PA80" s="4" t="str">
        <f t="shared" si="201"/>
        <v/>
      </c>
      <c r="PB80" s="4" t="str">
        <f t="shared" si="202"/>
        <v/>
      </c>
      <c r="PC80" s="4" t="str">
        <f t="shared" si="203"/>
        <v/>
      </c>
      <c r="PD80" s="4" t="str">
        <f t="shared" si="204"/>
        <v/>
      </c>
      <c r="PE80" s="4" t="str">
        <f t="shared" si="205"/>
        <v/>
      </c>
      <c r="PF80" s="4" t="str">
        <f t="shared" si="206"/>
        <v/>
      </c>
      <c r="PG80" s="4" t="str">
        <f t="shared" si="207"/>
        <v/>
      </c>
      <c r="PH80" s="4" t="str">
        <f t="shared" si="208"/>
        <v/>
      </c>
      <c r="PI80" s="4" t="str">
        <f t="shared" si="209"/>
        <v/>
      </c>
      <c r="PJ80" s="4" t="str">
        <f t="shared" si="210"/>
        <v/>
      </c>
      <c r="PK80" s="4" t="str">
        <f t="shared" si="211"/>
        <v/>
      </c>
      <c r="PL80" s="4" t="str">
        <f t="shared" si="212"/>
        <v/>
      </c>
      <c r="PM80" s="4" t="str">
        <f t="shared" si="213"/>
        <v/>
      </c>
      <c r="PN80" s="4" t="str">
        <f t="shared" si="214"/>
        <v/>
      </c>
      <c r="PO80" s="4" t="str">
        <f t="shared" si="215"/>
        <v/>
      </c>
      <c r="PP80" s="4" t="str">
        <f t="shared" si="216"/>
        <v/>
      </c>
      <c r="PQ80" s="4" t="str">
        <f t="shared" si="217"/>
        <v/>
      </c>
      <c r="PR80" s="4" t="str">
        <f t="shared" si="218"/>
        <v/>
      </c>
      <c r="PS80" s="4" t="str">
        <f t="shared" si="219"/>
        <v/>
      </c>
    </row>
    <row r="81">
      <c r="HI81" s="4" t="str">
        <f t="shared" si="2"/>
        <v/>
      </c>
      <c r="HJ81" s="4" t="str">
        <f t="shared" si="3"/>
        <v/>
      </c>
      <c r="HK81" s="4" t="str">
        <f t="shared" si="4"/>
        <v/>
      </c>
      <c r="HL81" s="4" t="str">
        <f t="shared" si="5"/>
        <v/>
      </c>
      <c r="HM81" s="4" t="str">
        <f t="shared" si="6"/>
        <v/>
      </c>
      <c r="HN81" s="4" t="str">
        <f t="shared" si="7"/>
        <v/>
      </c>
      <c r="HO81" s="4" t="str">
        <f t="shared" si="8"/>
        <v/>
      </c>
      <c r="HP81" s="4" t="str">
        <f t="shared" si="9"/>
        <v/>
      </c>
      <c r="HQ81" s="4" t="str">
        <f t="shared" si="10"/>
        <v/>
      </c>
      <c r="HR81" s="4" t="str">
        <f t="shared" si="11"/>
        <v/>
      </c>
      <c r="HS81" s="4" t="str">
        <f t="shared" si="12"/>
        <v/>
      </c>
      <c r="HT81" s="4" t="str">
        <f t="shared" si="13"/>
        <v/>
      </c>
      <c r="HU81" s="4" t="str">
        <f t="shared" si="14"/>
        <v/>
      </c>
      <c r="HV81" s="4" t="str">
        <f t="shared" si="15"/>
        <v/>
      </c>
      <c r="HW81" s="4" t="str">
        <f t="shared" si="16"/>
        <v/>
      </c>
      <c r="HX81" s="4" t="str">
        <f t="shared" si="17"/>
        <v/>
      </c>
      <c r="HY81" s="4" t="str">
        <f t="shared" si="18"/>
        <v/>
      </c>
      <c r="HZ81" s="4" t="str">
        <f t="shared" si="19"/>
        <v/>
      </c>
      <c r="IA81" s="4" t="str">
        <f t="shared" si="20"/>
        <v/>
      </c>
      <c r="IB81" s="4" t="str">
        <f t="shared" si="21"/>
        <v/>
      </c>
      <c r="IC81" s="4" t="str">
        <f t="shared" si="22"/>
        <v/>
      </c>
      <c r="ID81" s="4" t="str">
        <f t="shared" si="23"/>
        <v/>
      </c>
      <c r="IE81" s="4" t="str">
        <f t="shared" si="24"/>
        <v/>
      </c>
      <c r="IF81" s="4" t="str">
        <f t="shared" si="25"/>
        <v/>
      </c>
      <c r="IG81" s="4" t="str">
        <f t="shared" si="26"/>
        <v/>
      </c>
      <c r="IH81" s="4" t="str">
        <f t="shared" si="27"/>
        <v/>
      </c>
      <c r="II81" s="4" t="str">
        <f t="shared" si="28"/>
        <v/>
      </c>
      <c r="IJ81" s="4" t="str">
        <f t="shared" si="29"/>
        <v/>
      </c>
      <c r="IK81" s="4" t="str">
        <f t="shared" si="30"/>
        <v/>
      </c>
      <c r="IL81" s="4" t="str">
        <f t="shared" si="31"/>
        <v/>
      </c>
      <c r="IM81" s="4" t="str">
        <f t="shared" si="32"/>
        <v/>
      </c>
      <c r="IN81" s="4" t="str">
        <f t="shared" si="33"/>
        <v/>
      </c>
      <c r="IO81" s="4" t="str">
        <f t="shared" si="34"/>
        <v/>
      </c>
      <c r="IP81" s="4" t="str">
        <f t="shared" si="35"/>
        <v/>
      </c>
      <c r="IQ81" s="4" t="str">
        <f t="shared" si="36"/>
        <v/>
      </c>
      <c r="IR81" s="4" t="str">
        <f t="shared" si="37"/>
        <v/>
      </c>
      <c r="IS81" s="4" t="str">
        <f t="shared" si="38"/>
        <v/>
      </c>
      <c r="IT81" s="4" t="str">
        <f t="shared" si="39"/>
        <v/>
      </c>
      <c r="IU81" s="4" t="str">
        <f t="shared" si="40"/>
        <v/>
      </c>
      <c r="IV81" s="4" t="str">
        <f t="shared" si="41"/>
        <v/>
      </c>
      <c r="IW81" s="4" t="str">
        <f t="shared" si="42"/>
        <v/>
      </c>
      <c r="IX81" s="4" t="str">
        <f t="shared" si="43"/>
        <v/>
      </c>
      <c r="IY81" s="4" t="str">
        <f t="shared" si="44"/>
        <v/>
      </c>
      <c r="IZ81" s="4" t="str">
        <f t="shared" si="45"/>
        <v/>
      </c>
      <c r="JA81" s="4" t="str">
        <f t="shared" ref="JA81:JB81" si="297">if(ISERROR(SEARCH("Higher Education",BB81)),"","810")</f>
        <v/>
      </c>
      <c r="JB81" s="4" t="str">
        <f t="shared" si="297"/>
        <v/>
      </c>
      <c r="JC81" s="4" t="str">
        <f t="shared" si="47"/>
        <v/>
      </c>
      <c r="JD81" s="4" t="str">
        <f t="shared" si="48"/>
        <v/>
      </c>
      <c r="JE81" s="4" t="str">
        <f t="shared" si="49"/>
        <v/>
      </c>
      <c r="JF81" s="4" t="str">
        <f t="shared" si="50"/>
        <v/>
      </c>
      <c r="JG81" s="4" t="str">
        <f t="shared" si="51"/>
        <v/>
      </c>
      <c r="JH81" s="4" t="str">
        <f t="shared" si="52"/>
        <v/>
      </c>
      <c r="JI81" s="4" t="str">
        <f t="shared" si="53"/>
        <v/>
      </c>
      <c r="JJ81" s="4" t="str">
        <f t="shared" si="54"/>
        <v/>
      </c>
      <c r="JK81" s="4" t="str">
        <f t="shared" si="55"/>
        <v/>
      </c>
      <c r="JL81" s="4" t="str">
        <f t="shared" si="56"/>
        <v/>
      </c>
      <c r="JM81" s="4" t="str">
        <f t="shared" si="57"/>
        <v/>
      </c>
      <c r="JN81" s="4" t="str">
        <f t="shared" si="58"/>
        <v/>
      </c>
      <c r="JO81" s="4" t="str">
        <f t="shared" si="59"/>
        <v/>
      </c>
      <c r="JP81" s="4" t="str">
        <f t="shared" si="60"/>
        <v/>
      </c>
      <c r="JQ81" s="4" t="str">
        <f t="shared" si="61"/>
        <v/>
      </c>
      <c r="JR81" s="4" t="str">
        <f t="shared" si="62"/>
        <v/>
      </c>
      <c r="JS81" s="4" t="str">
        <f t="shared" si="63"/>
        <v/>
      </c>
      <c r="JT81" s="4" t="str">
        <f t="shared" si="64"/>
        <v/>
      </c>
      <c r="JU81" s="4" t="str">
        <f t="shared" si="65"/>
        <v/>
      </c>
      <c r="JV81" s="4" t="str">
        <f t="shared" si="66"/>
        <v/>
      </c>
      <c r="JW81" s="4" t="str">
        <f t="shared" si="67"/>
        <v/>
      </c>
      <c r="JX81" s="4" t="str">
        <f t="shared" si="68"/>
        <v/>
      </c>
      <c r="JY81" s="4" t="str">
        <f t="shared" si="69"/>
        <v/>
      </c>
      <c r="JZ81" s="4" t="str">
        <f t="shared" si="70"/>
        <v/>
      </c>
      <c r="KA81" s="4" t="str">
        <f t="shared" si="71"/>
        <v/>
      </c>
      <c r="KB81" s="4" t="str">
        <f t="shared" si="72"/>
        <v/>
      </c>
      <c r="KC81" s="4" t="str">
        <f t="shared" si="73"/>
        <v/>
      </c>
      <c r="KD81" s="4" t="str">
        <f t="shared" si="74"/>
        <v/>
      </c>
      <c r="KE81" s="4" t="str">
        <f t="shared" si="75"/>
        <v/>
      </c>
      <c r="KF81" s="4" t="str">
        <f t="shared" si="76"/>
        <v/>
      </c>
      <c r="KG81" s="4" t="str">
        <f t="shared" si="77"/>
        <v/>
      </c>
      <c r="KH81" s="4" t="str">
        <f t="shared" si="78"/>
        <v/>
      </c>
      <c r="KI81" s="4" t="str">
        <f t="shared" si="79"/>
        <v/>
      </c>
      <c r="KJ81" s="4" t="str">
        <f t="shared" si="80"/>
        <v/>
      </c>
      <c r="KK81" s="4" t="str">
        <f t="shared" si="81"/>
        <v/>
      </c>
      <c r="KL81" s="4" t="str">
        <f t="shared" si="82"/>
        <v/>
      </c>
      <c r="KM81" s="4" t="str">
        <f t="shared" si="83"/>
        <v/>
      </c>
      <c r="KN81" s="4" t="str">
        <f t="shared" si="84"/>
        <v/>
      </c>
      <c r="KO81" s="4" t="str">
        <f t="shared" si="85"/>
        <v/>
      </c>
      <c r="KP81" s="4" t="str">
        <f t="shared" si="86"/>
        <v/>
      </c>
      <c r="KQ81" s="4" t="str">
        <f t="shared" si="87"/>
        <v/>
      </c>
      <c r="KR81" s="4" t="str">
        <f t="shared" si="88"/>
        <v/>
      </c>
      <c r="KS81" s="4" t="str">
        <f t="shared" si="89"/>
        <v/>
      </c>
      <c r="KT81" s="4" t="str">
        <f t="shared" si="90"/>
        <v/>
      </c>
      <c r="KU81" s="4" t="str">
        <f t="shared" si="91"/>
        <v/>
      </c>
      <c r="KV81" s="4" t="str">
        <f t="shared" si="92"/>
        <v/>
      </c>
      <c r="KW81" s="4" t="str">
        <f t="shared" si="93"/>
        <v/>
      </c>
      <c r="KX81" s="4" t="str">
        <f t="shared" si="94"/>
        <v/>
      </c>
      <c r="KY81" s="4" t="str">
        <f t="shared" si="95"/>
        <v/>
      </c>
      <c r="KZ81" s="4" t="str">
        <f t="shared" si="96"/>
        <v/>
      </c>
      <c r="LA81" s="4" t="str">
        <f t="shared" si="97"/>
        <v/>
      </c>
      <c r="LB81" s="4" t="str">
        <f t="shared" si="98"/>
        <v/>
      </c>
      <c r="LC81" s="4" t="str">
        <f t="shared" si="99"/>
        <v/>
      </c>
      <c r="LD81" s="4" t="str">
        <f t="shared" si="100"/>
        <v/>
      </c>
      <c r="LE81" s="4" t="str">
        <f t="shared" si="101"/>
        <v/>
      </c>
      <c r="LF81" s="4" t="str">
        <f t="shared" si="102"/>
        <v/>
      </c>
      <c r="LG81" s="4" t="str">
        <f t="shared" si="103"/>
        <v/>
      </c>
      <c r="LH81" s="4" t="str">
        <f t="shared" si="104"/>
        <v/>
      </c>
      <c r="LI81" s="4" t="str">
        <f t="shared" si="105"/>
        <v/>
      </c>
      <c r="LJ81" s="4" t="str">
        <f t="shared" si="106"/>
        <v/>
      </c>
      <c r="LK81" s="4" t="str">
        <f t="shared" si="107"/>
        <v/>
      </c>
      <c r="LL81" s="4" t="str">
        <f t="shared" si="108"/>
        <v/>
      </c>
      <c r="LM81" s="4" t="str">
        <f t="shared" si="109"/>
        <v/>
      </c>
      <c r="LN81" s="4" t="str">
        <f t="shared" si="110"/>
        <v/>
      </c>
      <c r="LO81" s="4" t="str">
        <f t="shared" si="111"/>
        <v/>
      </c>
      <c r="LP81" s="4" t="str">
        <f t="shared" si="112"/>
        <v/>
      </c>
      <c r="LQ81" s="4" t="str">
        <f t="shared" si="113"/>
        <v/>
      </c>
      <c r="LR81" s="4" t="str">
        <f t="shared" si="114"/>
        <v/>
      </c>
      <c r="LS81" s="4" t="str">
        <f t="shared" si="115"/>
        <v/>
      </c>
      <c r="LT81" s="4" t="str">
        <f t="shared" si="116"/>
        <v/>
      </c>
      <c r="LU81" s="4" t="str">
        <f t="shared" si="117"/>
        <v/>
      </c>
      <c r="LV81" s="4" t="str">
        <f t="shared" si="118"/>
        <v/>
      </c>
      <c r="LW81" s="4" t="str">
        <f t="shared" si="119"/>
        <v/>
      </c>
      <c r="LX81" s="4" t="str">
        <f t="shared" si="120"/>
        <v/>
      </c>
      <c r="LY81" s="4" t="str">
        <f t="shared" si="121"/>
        <v/>
      </c>
      <c r="LZ81" s="4" t="str">
        <f t="shared" si="122"/>
        <v/>
      </c>
      <c r="MA81" s="4" t="str">
        <f t="shared" si="123"/>
        <v/>
      </c>
      <c r="MB81" s="4" t="str">
        <f t="shared" si="124"/>
        <v/>
      </c>
      <c r="MC81" s="4" t="str">
        <f t="shared" si="125"/>
        <v/>
      </c>
      <c r="MD81" s="4" t="str">
        <f t="shared" si="126"/>
        <v/>
      </c>
      <c r="ME81" s="4" t="str">
        <f t="shared" si="127"/>
        <v/>
      </c>
      <c r="MF81" s="4" t="str">
        <f t="shared" si="128"/>
        <v/>
      </c>
      <c r="MG81" s="4" t="str">
        <f t="shared" si="129"/>
        <v/>
      </c>
      <c r="MH81" s="4" t="str">
        <f t="shared" si="130"/>
        <v/>
      </c>
      <c r="MI81" s="4" t="str">
        <f t="shared" si="131"/>
        <v/>
      </c>
      <c r="MJ81" s="4" t="str">
        <f t="shared" si="132"/>
        <v/>
      </c>
      <c r="MK81" s="4" t="str">
        <f t="shared" si="133"/>
        <v/>
      </c>
      <c r="ML81" s="4" t="str">
        <f t="shared" si="134"/>
        <v/>
      </c>
      <c r="MM81" s="4" t="str">
        <f t="shared" si="135"/>
        <v/>
      </c>
      <c r="MN81" s="4" t="str">
        <f t="shared" si="136"/>
        <v/>
      </c>
      <c r="MO81" s="4" t="str">
        <f t="shared" si="137"/>
        <v/>
      </c>
      <c r="MP81" s="4" t="str">
        <f t="shared" si="138"/>
        <v/>
      </c>
      <c r="MQ81" s="4" t="str">
        <f t="shared" si="139"/>
        <v/>
      </c>
      <c r="MR81" s="4" t="str">
        <f t="shared" si="140"/>
        <v/>
      </c>
      <c r="MS81" s="4" t="str">
        <f t="shared" si="141"/>
        <v/>
      </c>
      <c r="MT81" s="4" t="str">
        <f t="shared" si="142"/>
        <v/>
      </c>
      <c r="MU81" s="4" t="str">
        <f t="shared" si="143"/>
        <v/>
      </c>
      <c r="MV81" s="4" t="str">
        <f t="shared" si="144"/>
        <v/>
      </c>
      <c r="MW81" s="4" t="str">
        <f t="shared" si="145"/>
        <v/>
      </c>
      <c r="MX81" s="4" t="str">
        <f t="shared" si="146"/>
        <v/>
      </c>
      <c r="MY81" s="4" t="str">
        <f t="shared" si="147"/>
        <v/>
      </c>
      <c r="MZ81" s="4" t="str">
        <f t="shared" si="148"/>
        <v/>
      </c>
      <c r="NA81" s="4" t="str">
        <f t="shared" si="149"/>
        <v/>
      </c>
      <c r="NB81" s="4" t="str">
        <f t="shared" si="150"/>
        <v/>
      </c>
      <c r="NC81" s="4" t="str">
        <f t="shared" si="151"/>
        <v/>
      </c>
      <c r="ND81" s="4" t="str">
        <f t="shared" si="152"/>
        <v/>
      </c>
      <c r="NE81" s="4" t="str">
        <f t="shared" si="153"/>
        <v/>
      </c>
      <c r="NF81" s="4" t="str">
        <f t="shared" si="154"/>
        <v/>
      </c>
      <c r="NG81" s="4" t="str">
        <f t="shared" si="155"/>
        <v/>
      </c>
      <c r="NH81" s="4" t="str">
        <f t="shared" si="156"/>
        <v/>
      </c>
      <c r="NI81" s="4" t="str">
        <f t="shared" si="157"/>
        <v/>
      </c>
      <c r="NJ81" s="4" t="str">
        <f t="shared" si="158"/>
        <v/>
      </c>
      <c r="NK81" s="4" t="str">
        <f t="shared" si="159"/>
        <v/>
      </c>
      <c r="NL81" s="4" t="str">
        <f t="shared" si="160"/>
        <v/>
      </c>
      <c r="NM81" s="4" t="str">
        <f t="shared" si="161"/>
        <v/>
      </c>
      <c r="NN81" s="4" t="str">
        <f t="shared" si="162"/>
        <v/>
      </c>
      <c r="NO81" s="4" t="str">
        <f t="shared" si="163"/>
        <v/>
      </c>
      <c r="NP81" s="4" t="str">
        <f t="shared" si="164"/>
        <v/>
      </c>
      <c r="NQ81" s="4" t="str">
        <f t="shared" si="165"/>
        <v/>
      </c>
      <c r="NR81" s="4" t="str">
        <f t="shared" si="166"/>
        <v/>
      </c>
      <c r="NS81" s="4" t="str">
        <f t="shared" si="167"/>
        <v/>
      </c>
      <c r="NT81" s="4" t="str">
        <f t="shared" si="168"/>
        <v/>
      </c>
      <c r="NU81" s="4" t="str">
        <f t="shared" si="169"/>
        <v/>
      </c>
      <c r="NV81" s="4" t="str">
        <f t="shared" si="170"/>
        <v/>
      </c>
      <c r="NW81" s="4" t="str">
        <f t="shared" si="171"/>
        <v/>
      </c>
      <c r="NX81" s="4" t="str">
        <f t="shared" si="172"/>
        <v/>
      </c>
      <c r="NY81" s="4" t="str">
        <f t="shared" si="173"/>
        <v/>
      </c>
      <c r="NZ81" s="4" t="str">
        <f t="shared" si="174"/>
        <v/>
      </c>
      <c r="OA81" s="4" t="str">
        <f t="shared" si="175"/>
        <v/>
      </c>
      <c r="OB81" s="4" t="str">
        <f t="shared" si="176"/>
        <v/>
      </c>
      <c r="OC81" s="4" t="str">
        <f t="shared" si="177"/>
        <v/>
      </c>
      <c r="OD81" s="4" t="str">
        <f t="shared" si="178"/>
        <v/>
      </c>
      <c r="OE81" s="4" t="str">
        <f t="shared" si="179"/>
        <v/>
      </c>
      <c r="OF81" s="4" t="str">
        <f t="shared" si="180"/>
        <v/>
      </c>
      <c r="OG81" s="4" t="str">
        <f t="shared" si="181"/>
        <v/>
      </c>
      <c r="OH81" s="4" t="str">
        <f t="shared" si="182"/>
        <v/>
      </c>
      <c r="OI81" s="4" t="str">
        <f t="shared" si="183"/>
        <v/>
      </c>
      <c r="OJ81" s="4" t="str">
        <f t="shared" si="184"/>
        <v/>
      </c>
      <c r="OK81" s="4" t="str">
        <f t="shared" si="185"/>
        <v/>
      </c>
      <c r="OL81" s="4" t="str">
        <f t="shared" si="186"/>
        <v/>
      </c>
      <c r="OM81" s="4" t="str">
        <f t="shared" si="187"/>
        <v/>
      </c>
      <c r="ON81" s="4" t="str">
        <f t="shared" si="188"/>
        <v/>
      </c>
      <c r="OO81" s="4" t="str">
        <f t="shared" si="189"/>
        <v/>
      </c>
      <c r="OP81" s="4" t="str">
        <f t="shared" si="190"/>
        <v/>
      </c>
      <c r="OQ81" s="4" t="str">
        <f t="shared" si="191"/>
        <v/>
      </c>
      <c r="OR81" s="4" t="str">
        <f t="shared" si="192"/>
        <v/>
      </c>
      <c r="OS81" s="4" t="str">
        <f t="shared" si="193"/>
        <v/>
      </c>
      <c r="OT81" s="4" t="str">
        <f t="shared" si="194"/>
        <v/>
      </c>
      <c r="OU81" s="4" t="str">
        <f t="shared" si="195"/>
        <v/>
      </c>
      <c r="OV81" s="4" t="str">
        <f t="shared" si="196"/>
        <v/>
      </c>
      <c r="OW81" s="4" t="str">
        <f t="shared" si="197"/>
        <v/>
      </c>
      <c r="OX81" s="4" t="str">
        <f t="shared" si="198"/>
        <v/>
      </c>
      <c r="OY81" s="4" t="str">
        <f t="shared" si="199"/>
        <v/>
      </c>
      <c r="OZ81" s="4" t="str">
        <f t="shared" si="200"/>
        <v/>
      </c>
      <c r="PA81" s="4" t="str">
        <f t="shared" si="201"/>
        <v/>
      </c>
      <c r="PB81" s="4" t="str">
        <f t="shared" si="202"/>
        <v/>
      </c>
      <c r="PC81" s="4" t="str">
        <f t="shared" si="203"/>
        <v/>
      </c>
      <c r="PD81" s="4" t="str">
        <f t="shared" si="204"/>
        <v/>
      </c>
      <c r="PE81" s="4" t="str">
        <f t="shared" si="205"/>
        <v/>
      </c>
      <c r="PF81" s="4" t="str">
        <f t="shared" si="206"/>
        <v/>
      </c>
      <c r="PG81" s="4" t="str">
        <f t="shared" si="207"/>
        <v/>
      </c>
      <c r="PH81" s="4" t="str">
        <f t="shared" si="208"/>
        <v/>
      </c>
      <c r="PI81" s="4" t="str">
        <f t="shared" si="209"/>
        <v/>
      </c>
      <c r="PJ81" s="4" t="str">
        <f t="shared" si="210"/>
        <v/>
      </c>
      <c r="PK81" s="4" t="str">
        <f t="shared" si="211"/>
        <v/>
      </c>
      <c r="PL81" s="4" t="str">
        <f t="shared" si="212"/>
        <v/>
      </c>
      <c r="PM81" s="4" t="str">
        <f t="shared" si="213"/>
        <v/>
      </c>
      <c r="PN81" s="4" t="str">
        <f t="shared" si="214"/>
        <v/>
      </c>
      <c r="PO81" s="4" t="str">
        <f t="shared" si="215"/>
        <v/>
      </c>
      <c r="PP81" s="4" t="str">
        <f t="shared" si="216"/>
        <v/>
      </c>
      <c r="PQ81" s="4" t="str">
        <f t="shared" si="217"/>
        <v/>
      </c>
      <c r="PR81" s="4" t="str">
        <f t="shared" si="218"/>
        <v/>
      </c>
      <c r="PS81" s="4" t="str">
        <f t="shared" si="219"/>
        <v/>
      </c>
    </row>
    <row r="82">
      <c r="HI82" s="4" t="str">
        <f t="shared" si="2"/>
        <v/>
      </c>
      <c r="HJ82" s="4" t="str">
        <f t="shared" si="3"/>
        <v/>
      </c>
      <c r="HK82" s="4" t="str">
        <f t="shared" si="4"/>
        <v/>
      </c>
      <c r="HL82" s="4" t="str">
        <f t="shared" si="5"/>
        <v/>
      </c>
      <c r="HM82" s="4" t="str">
        <f t="shared" si="6"/>
        <v/>
      </c>
      <c r="HN82" s="4" t="str">
        <f t="shared" si="7"/>
        <v/>
      </c>
      <c r="HO82" s="4" t="str">
        <f t="shared" si="8"/>
        <v/>
      </c>
      <c r="HP82" s="4" t="str">
        <f t="shared" si="9"/>
        <v/>
      </c>
      <c r="HQ82" s="4" t="str">
        <f t="shared" si="10"/>
        <v/>
      </c>
      <c r="HR82" s="4" t="str">
        <f t="shared" si="11"/>
        <v/>
      </c>
      <c r="HS82" s="4" t="str">
        <f t="shared" si="12"/>
        <v/>
      </c>
      <c r="HT82" s="4" t="str">
        <f t="shared" si="13"/>
        <v/>
      </c>
      <c r="HU82" s="4" t="str">
        <f t="shared" si="14"/>
        <v/>
      </c>
      <c r="HV82" s="4" t="str">
        <f t="shared" si="15"/>
        <v/>
      </c>
      <c r="HW82" s="4" t="str">
        <f t="shared" si="16"/>
        <v/>
      </c>
      <c r="HX82" s="4" t="str">
        <f t="shared" si="17"/>
        <v/>
      </c>
      <c r="HY82" s="4" t="str">
        <f t="shared" si="18"/>
        <v/>
      </c>
      <c r="HZ82" s="4" t="str">
        <f t="shared" si="19"/>
        <v/>
      </c>
      <c r="IA82" s="4" t="str">
        <f t="shared" si="20"/>
        <v/>
      </c>
      <c r="IB82" s="4" t="str">
        <f t="shared" si="21"/>
        <v/>
      </c>
      <c r="IC82" s="4" t="str">
        <f t="shared" si="22"/>
        <v/>
      </c>
      <c r="ID82" s="4" t="str">
        <f t="shared" si="23"/>
        <v/>
      </c>
      <c r="IE82" s="4" t="str">
        <f t="shared" si="24"/>
        <v/>
      </c>
      <c r="IF82" s="4" t="str">
        <f t="shared" si="25"/>
        <v/>
      </c>
      <c r="IG82" s="4" t="str">
        <f t="shared" si="26"/>
        <v/>
      </c>
      <c r="IH82" s="4" t="str">
        <f t="shared" si="27"/>
        <v/>
      </c>
      <c r="II82" s="4" t="str">
        <f t="shared" si="28"/>
        <v/>
      </c>
      <c r="IJ82" s="4" t="str">
        <f t="shared" si="29"/>
        <v/>
      </c>
      <c r="IK82" s="4" t="str">
        <f t="shared" si="30"/>
        <v/>
      </c>
      <c r="IL82" s="4" t="str">
        <f t="shared" si="31"/>
        <v/>
      </c>
      <c r="IM82" s="4" t="str">
        <f t="shared" si="32"/>
        <v/>
      </c>
      <c r="IN82" s="4" t="str">
        <f t="shared" si="33"/>
        <v/>
      </c>
      <c r="IO82" s="4" t="str">
        <f t="shared" si="34"/>
        <v/>
      </c>
      <c r="IP82" s="4" t="str">
        <f t="shared" si="35"/>
        <v/>
      </c>
      <c r="IQ82" s="4" t="str">
        <f t="shared" si="36"/>
        <v/>
      </c>
      <c r="IR82" s="4" t="str">
        <f t="shared" si="37"/>
        <v/>
      </c>
      <c r="IS82" s="4" t="str">
        <f t="shared" si="38"/>
        <v/>
      </c>
      <c r="IT82" s="4" t="str">
        <f t="shared" si="39"/>
        <v/>
      </c>
      <c r="IU82" s="4" t="str">
        <f t="shared" si="40"/>
        <v/>
      </c>
      <c r="IV82" s="4" t="str">
        <f t="shared" si="41"/>
        <v/>
      </c>
      <c r="IW82" s="4" t="str">
        <f t="shared" si="42"/>
        <v/>
      </c>
      <c r="IX82" s="4" t="str">
        <f t="shared" si="43"/>
        <v/>
      </c>
      <c r="IY82" s="4" t="str">
        <f t="shared" si="44"/>
        <v/>
      </c>
      <c r="IZ82" s="4" t="str">
        <f t="shared" si="45"/>
        <v/>
      </c>
      <c r="JA82" s="4" t="str">
        <f t="shared" ref="JA82:JB82" si="298">if(ISERROR(SEARCH("Higher Education",BB82)),"","810")</f>
        <v/>
      </c>
      <c r="JB82" s="4" t="str">
        <f t="shared" si="298"/>
        <v/>
      </c>
      <c r="JC82" s="4" t="str">
        <f t="shared" si="47"/>
        <v/>
      </c>
      <c r="JD82" s="4" t="str">
        <f t="shared" si="48"/>
        <v/>
      </c>
      <c r="JE82" s="4" t="str">
        <f t="shared" si="49"/>
        <v/>
      </c>
      <c r="JF82" s="4" t="str">
        <f t="shared" si="50"/>
        <v/>
      </c>
      <c r="JG82" s="4" t="str">
        <f t="shared" si="51"/>
        <v/>
      </c>
      <c r="JH82" s="4" t="str">
        <f t="shared" si="52"/>
        <v/>
      </c>
      <c r="JI82" s="4" t="str">
        <f t="shared" si="53"/>
        <v/>
      </c>
      <c r="JJ82" s="4" t="str">
        <f t="shared" si="54"/>
        <v/>
      </c>
      <c r="JK82" s="4" t="str">
        <f t="shared" si="55"/>
        <v/>
      </c>
      <c r="JL82" s="4" t="str">
        <f t="shared" si="56"/>
        <v/>
      </c>
      <c r="JM82" s="4" t="str">
        <f t="shared" si="57"/>
        <v/>
      </c>
      <c r="JN82" s="4" t="str">
        <f t="shared" si="58"/>
        <v/>
      </c>
      <c r="JO82" s="4" t="str">
        <f t="shared" si="59"/>
        <v/>
      </c>
      <c r="JP82" s="4" t="str">
        <f t="shared" si="60"/>
        <v/>
      </c>
      <c r="JQ82" s="4" t="str">
        <f t="shared" si="61"/>
        <v/>
      </c>
      <c r="JR82" s="4" t="str">
        <f t="shared" si="62"/>
        <v/>
      </c>
      <c r="JS82" s="4" t="str">
        <f t="shared" si="63"/>
        <v/>
      </c>
      <c r="JT82" s="4" t="str">
        <f t="shared" si="64"/>
        <v/>
      </c>
      <c r="JU82" s="4" t="str">
        <f t="shared" si="65"/>
        <v/>
      </c>
      <c r="JV82" s="4" t="str">
        <f t="shared" si="66"/>
        <v/>
      </c>
      <c r="JW82" s="4" t="str">
        <f t="shared" si="67"/>
        <v/>
      </c>
      <c r="JX82" s="4" t="str">
        <f t="shared" si="68"/>
        <v/>
      </c>
      <c r="JY82" s="4" t="str">
        <f t="shared" si="69"/>
        <v/>
      </c>
      <c r="JZ82" s="4" t="str">
        <f t="shared" si="70"/>
        <v/>
      </c>
      <c r="KA82" s="4" t="str">
        <f t="shared" si="71"/>
        <v/>
      </c>
      <c r="KB82" s="4" t="str">
        <f t="shared" si="72"/>
        <v/>
      </c>
      <c r="KC82" s="4" t="str">
        <f t="shared" si="73"/>
        <v/>
      </c>
      <c r="KD82" s="4" t="str">
        <f t="shared" si="74"/>
        <v/>
      </c>
      <c r="KE82" s="4" t="str">
        <f t="shared" si="75"/>
        <v/>
      </c>
      <c r="KF82" s="4" t="str">
        <f t="shared" si="76"/>
        <v/>
      </c>
      <c r="KG82" s="4" t="str">
        <f t="shared" si="77"/>
        <v/>
      </c>
      <c r="KH82" s="4" t="str">
        <f t="shared" si="78"/>
        <v/>
      </c>
      <c r="KI82" s="4" t="str">
        <f t="shared" si="79"/>
        <v/>
      </c>
      <c r="KJ82" s="4" t="str">
        <f t="shared" si="80"/>
        <v/>
      </c>
      <c r="KK82" s="4" t="str">
        <f t="shared" si="81"/>
        <v/>
      </c>
      <c r="KL82" s="4" t="str">
        <f t="shared" si="82"/>
        <v/>
      </c>
      <c r="KM82" s="4" t="str">
        <f t="shared" si="83"/>
        <v/>
      </c>
      <c r="KN82" s="4" t="str">
        <f t="shared" si="84"/>
        <v/>
      </c>
      <c r="KO82" s="4" t="str">
        <f t="shared" si="85"/>
        <v/>
      </c>
      <c r="KP82" s="4" t="str">
        <f t="shared" si="86"/>
        <v/>
      </c>
      <c r="KQ82" s="4" t="str">
        <f t="shared" si="87"/>
        <v/>
      </c>
      <c r="KR82" s="4" t="str">
        <f t="shared" si="88"/>
        <v/>
      </c>
      <c r="KS82" s="4" t="str">
        <f t="shared" si="89"/>
        <v/>
      </c>
      <c r="KT82" s="4" t="str">
        <f t="shared" si="90"/>
        <v/>
      </c>
      <c r="KU82" s="4" t="str">
        <f t="shared" si="91"/>
        <v/>
      </c>
      <c r="KV82" s="4" t="str">
        <f t="shared" si="92"/>
        <v/>
      </c>
      <c r="KW82" s="4" t="str">
        <f t="shared" si="93"/>
        <v/>
      </c>
      <c r="KX82" s="4" t="str">
        <f t="shared" si="94"/>
        <v/>
      </c>
      <c r="KY82" s="4" t="str">
        <f t="shared" si="95"/>
        <v/>
      </c>
      <c r="KZ82" s="4" t="str">
        <f t="shared" si="96"/>
        <v/>
      </c>
      <c r="LA82" s="4" t="str">
        <f t="shared" si="97"/>
        <v/>
      </c>
      <c r="LB82" s="4" t="str">
        <f t="shared" si="98"/>
        <v/>
      </c>
      <c r="LC82" s="4" t="str">
        <f t="shared" si="99"/>
        <v/>
      </c>
      <c r="LD82" s="4" t="str">
        <f t="shared" si="100"/>
        <v/>
      </c>
      <c r="LE82" s="4" t="str">
        <f t="shared" si="101"/>
        <v/>
      </c>
      <c r="LF82" s="4" t="str">
        <f t="shared" si="102"/>
        <v/>
      </c>
      <c r="LG82" s="4" t="str">
        <f t="shared" si="103"/>
        <v/>
      </c>
      <c r="LH82" s="4" t="str">
        <f t="shared" si="104"/>
        <v/>
      </c>
      <c r="LI82" s="4" t="str">
        <f t="shared" si="105"/>
        <v/>
      </c>
      <c r="LJ82" s="4" t="str">
        <f t="shared" si="106"/>
        <v/>
      </c>
      <c r="LK82" s="4" t="str">
        <f t="shared" si="107"/>
        <v/>
      </c>
      <c r="LL82" s="4" t="str">
        <f t="shared" si="108"/>
        <v/>
      </c>
      <c r="LM82" s="4" t="str">
        <f t="shared" si="109"/>
        <v/>
      </c>
      <c r="LN82" s="4" t="str">
        <f t="shared" si="110"/>
        <v/>
      </c>
      <c r="LO82" s="4" t="str">
        <f t="shared" si="111"/>
        <v/>
      </c>
      <c r="LP82" s="4" t="str">
        <f t="shared" si="112"/>
        <v/>
      </c>
      <c r="LQ82" s="4" t="str">
        <f t="shared" si="113"/>
        <v/>
      </c>
      <c r="LR82" s="4" t="str">
        <f t="shared" si="114"/>
        <v/>
      </c>
      <c r="LS82" s="4" t="str">
        <f t="shared" si="115"/>
        <v/>
      </c>
      <c r="LT82" s="4" t="str">
        <f t="shared" si="116"/>
        <v/>
      </c>
      <c r="LU82" s="4" t="str">
        <f t="shared" si="117"/>
        <v/>
      </c>
      <c r="LV82" s="4" t="str">
        <f t="shared" si="118"/>
        <v/>
      </c>
      <c r="LW82" s="4" t="str">
        <f t="shared" si="119"/>
        <v/>
      </c>
      <c r="LX82" s="4" t="str">
        <f t="shared" si="120"/>
        <v/>
      </c>
      <c r="LY82" s="4" t="str">
        <f t="shared" si="121"/>
        <v/>
      </c>
      <c r="LZ82" s="4" t="str">
        <f t="shared" si="122"/>
        <v/>
      </c>
      <c r="MA82" s="4" t="str">
        <f t="shared" si="123"/>
        <v/>
      </c>
      <c r="MB82" s="4" t="str">
        <f t="shared" si="124"/>
        <v/>
      </c>
      <c r="MC82" s="4" t="str">
        <f t="shared" si="125"/>
        <v/>
      </c>
      <c r="MD82" s="4" t="str">
        <f t="shared" si="126"/>
        <v/>
      </c>
      <c r="ME82" s="4" t="str">
        <f t="shared" si="127"/>
        <v/>
      </c>
      <c r="MF82" s="4" t="str">
        <f t="shared" si="128"/>
        <v/>
      </c>
      <c r="MG82" s="4" t="str">
        <f t="shared" si="129"/>
        <v/>
      </c>
      <c r="MH82" s="4" t="str">
        <f t="shared" si="130"/>
        <v/>
      </c>
      <c r="MI82" s="4" t="str">
        <f t="shared" si="131"/>
        <v/>
      </c>
      <c r="MJ82" s="4" t="str">
        <f t="shared" si="132"/>
        <v/>
      </c>
      <c r="MK82" s="4" t="str">
        <f t="shared" si="133"/>
        <v/>
      </c>
      <c r="ML82" s="4" t="str">
        <f t="shared" si="134"/>
        <v/>
      </c>
      <c r="MM82" s="4" t="str">
        <f t="shared" si="135"/>
        <v/>
      </c>
      <c r="MN82" s="4" t="str">
        <f t="shared" si="136"/>
        <v/>
      </c>
      <c r="MO82" s="4" t="str">
        <f t="shared" si="137"/>
        <v/>
      </c>
      <c r="MP82" s="4" t="str">
        <f t="shared" si="138"/>
        <v/>
      </c>
      <c r="MQ82" s="4" t="str">
        <f t="shared" si="139"/>
        <v/>
      </c>
      <c r="MR82" s="4" t="str">
        <f t="shared" si="140"/>
        <v/>
      </c>
      <c r="MS82" s="4" t="str">
        <f t="shared" si="141"/>
        <v/>
      </c>
      <c r="MT82" s="4" t="str">
        <f t="shared" si="142"/>
        <v/>
      </c>
      <c r="MU82" s="4" t="str">
        <f t="shared" si="143"/>
        <v/>
      </c>
      <c r="MV82" s="4" t="str">
        <f t="shared" si="144"/>
        <v/>
      </c>
      <c r="MW82" s="4" t="str">
        <f t="shared" si="145"/>
        <v/>
      </c>
      <c r="MX82" s="4" t="str">
        <f t="shared" si="146"/>
        <v/>
      </c>
      <c r="MY82" s="4" t="str">
        <f t="shared" si="147"/>
        <v/>
      </c>
      <c r="MZ82" s="4" t="str">
        <f t="shared" si="148"/>
        <v/>
      </c>
      <c r="NA82" s="4" t="str">
        <f t="shared" si="149"/>
        <v/>
      </c>
      <c r="NB82" s="4" t="str">
        <f t="shared" si="150"/>
        <v/>
      </c>
      <c r="NC82" s="4" t="str">
        <f t="shared" si="151"/>
        <v/>
      </c>
      <c r="ND82" s="4" t="str">
        <f t="shared" si="152"/>
        <v/>
      </c>
      <c r="NE82" s="4" t="str">
        <f t="shared" si="153"/>
        <v/>
      </c>
      <c r="NF82" s="4" t="str">
        <f t="shared" si="154"/>
        <v/>
      </c>
      <c r="NG82" s="4" t="str">
        <f t="shared" si="155"/>
        <v/>
      </c>
      <c r="NH82" s="4" t="str">
        <f t="shared" si="156"/>
        <v/>
      </c>
      <c r="NI82" s="4" t="str">
        <f t="shared" si="157"/>
        <v/>
      </c>
      <c r="NJ82" s="4" t="str">
        <f t="shared" si="158"/>
        <v/>
      </c>
      <c r="NK82" s="4" t="str">
        <f t="shared" si="159"/>
        <v/>
      </c>
      <c r="NL82" s="4" t="str">
        <f t="shared" si="160"/>
        <v/>
      </c>
      <c r="NM82" s="4" t="str">
        <f t="shared" si="161"/>
        <v/>
      </c>
      <c r="NN82" s="4" t="str">
        <f t="shared" si="162"/>
        <v/>
      </c>
      <c r="NO82" s="4" t="str">
        <f t="shared" si="163"/>
        <v/>
      </c>
      <c r="NP82" s="4" t="str">
        <f t="shared" si="164"/>
        <v/>
      </c>
      <c r="NQ82" s="4" t="str">
        <f t="shared" si="165"/>
        <v/>
      </c>
      <c r="NR82" s="4" t="str">
        <f t="shared" si="166"/>
        <v/>
      </c>
      <c r="NS82" s="4" t="str">
        <f t="shared" si="167"/>
        <v/>
      </c>
      <c r="NT82" s="4" t="str">
        <f t="shared" si="168"/>
        <v/>
      </c>
      <c r="NU82" s="4" t="str">
        <f t="shared" si="169"/>
        <v/>
      </c>
      <c r="NV82" s="4" t="str">
        <f t="shared" si="170"/>
        <v/>
      </c>
      <c r="NW82" s="4" t="str">
        <f t="shared" si="171"/>
        <v/>
      </c>
      <c r="NX82" s="4" t="str">
        <f t="shared" si="172"/>
        <v/>
      </c>
      <c r="NY82" s="4" t="str">
        <f t="shared" si="173"/>
        <v/>
      </c>
      <c r="NZ82" s="4" t="str">
        <f t="shared" si="174"/>
        <v/>
      </c>
      <c r="OA82" s="4" t="str">
        <f t="shared" si="175"/>
        <v/>
      </c>
      <c r="OB82" s="4" t="str">
        <f t="shared" si="176"/>
        <v/>
      </c>
      <c r="OC82" s="4" t="str">
        <f t="shared" si="177"/>
        <v/>
      </c>
      <c r="OD82" s="4" t="str">
        <f t="shared" si="178"/>
        <v/>
      </c>
      <c r="OE82" s="4" t="str">
        <f t="shared" si="179"/>
        <v/>
      </c>
      <c r="OF82" s="4" t="str">
        <f t="shared" si="180"/>
        <v/>
      </c>
      <c r="OG82" s="4" t="str">
        <f t="shared" si="181"/>
        <v/>
      </c>
      <c r="OH82" s="4" t="str">
        <f t="shared" si="182"/>
        <v/>
      </c>
      <c r="OI82" s="4" t="str">
        <f t="shared" si="183"/>
        <v/>
      </c>
      <c r="OJ82" s="4" t="str">
        <f t="shared" si="184"/>
        <v/>
      </c>
      <c r="OK82" s="4" t="str">
        <f t="shared" si="185"/>
        <v/>
      </c>
      <c r="OL82" s="4" t="str">
        <f t="shared" si="186"/>
        <v/>
      </c>
      <c r="OM82" s="4" t="str">
        <f t="shared" si="187"/>
        <v/>
      </c>
      <c r="ON82" s="4" t="str">
        <f t="shared" si="188"/>
        <v/>
      </c>
      <c r="OO82" s="4" t="str">
        <f t="shared" si="189"/>
        <v/>
      </c>
      <c r="OP82" s="4" t="str">
        <f t="shared" si="190"/>
        <v/>
      </c>
      <c r="OQ82" s="4" t="str">
        <f t="shared" si="191"/>
        <v/>
      </c>
      <c r="OR82" s="4" t="str">
        <f t="shared" si="192"/>
        <v/>
      </c>
      <c r="OS82" s="4" t="str">
        <f t="shared" si="193"/>
        <v/>
      </c>
      <c r="OT82" s="4" t="str">
        <f t="shared" si="194"/>
        <v/>
      </c>
      <c r="OU82" s="4" t="str">
        <f t="shared" si="195"/>
        <v/>
      </c>
      <c r="OV82" s="4" t="str">
        <f t="shared" si="196"/>
        <v/>
      </c>
      <c r="OW82" s="4" t="str">
        <f t="shared" si="197"/>
        <v/>
      </c>
      <c r="OX82" s="4" t="str">
        <f t="shared" si="198"/>
        <v/>
      </c>
      <c r="OY82" s="4" t="str">
        <f t="shared" si="199"/>
        <v/>
      </c>
      <c r="OZ82" s="4" t="str">
        <f t="shared" si="200"/>
        <v/>
      </c>
      <c r="PA82" s="4" t="str">
        <f t="shared" si="201"/>
        <v/>
      </c>
      <c r="PB82" s="4" t="str">
        <f t="shared" si="202"/>
        <v/>
      </c>
      <c r="PC82" s="4" t="str">
        <f t="shared" si="203"/>
        <v/>
      </c>
      <c r="PD82" s="4" t="str">
        <f t="shared" si="204"/>
        <v/>
      </c>
      <c r="PE82" s="4" t="str">
        <f t="shared" si="205"/>
        <v/>
      </c>
      <c r="PF82" s="4" t="str">
        <f t="shared" si="206"/>
        <v/>
      </c>
      <c r="PG82" s="4" t="str">
        <f t="shared" si="207"/>
        <v/>
      </c>
      <c r="PH82" s="4" t="str">
        <f t="shared" si="208"/>
        <v/>
      </c>
      <c r="PI82" s="4" t="str">
        <f t="shared" si="209"/>
        <v/>
      </c>
      <c r="PJ82" s="4" t="str">
        <f t="shared" si="210"/>
        <v/>
      </c>
      <c r="PK82" s="4" t="str">
        <f t="shared" si="211"/>
        <v/>
      </c>
      <c r="PL82" s="4" t="str">
        <f t="shared" si="212"/>
        <v/>
      </c>
      <c r="PM82" s="4" t="str">
        <f t="shared" si="213"/>
        <v/>
      </c>
      <c r="PN82" s="4" t="str">
        <f t="shared" si="214"/>
        <v/>
      </c>
      <c r="PO82" s="4" t="str">
        <f t="shared" si="215"/>
        <v/>
      </c>
      <c r="PP82" s="4" t="str">
        <f t="shared" si="216"/>
        <v/>
      </c>
      <c r="PQ82" s="4" t="str">
        <f t="shared" si="217"/>
        <v/>
      </c>
      <c r="PR82" s="4" t="str">
        <f t="shared" si="218"/>
        <v/>
      </c>
      <c r="PS82" s="4" t="str">
        <f t="shared" si="219"/>
        <v/>
      </c>
    </row>
    <row r="83">
      <c r="HI83" s="4" t="str">
        <f t="shared" si="2"/>
        <v/>
      </c>
      <c r="HJ83" s="4" t="str">
        <f t="shared" si="3"/>
        <v/>
      </c>
      <c r="HK83" s="4" t="str">
        <f t="shared" si="4"/>
        <v/>
      </c>
      <c r="HL83" s="4" t="str">
        <f t="shared" si="5"/>
        <v/>
      </c>
      <c r="HM83" s="4" t="str">
        <f t="shared" si="6"/>
        <v/>
      </c>
      <c r="HN83" s="4" t="str">
        <f t="shared" si="7"/>
        <v/>
      </c>
      <c r="HO83" s="4" t="str">
        <f t="shared" si="8"/>
        <v/>
      </c>
      <c r="HP83" s="4" t="str">
        <f t="shared" si="9"/>
        <v/>
      </c>
      <c r="HQ83" s="4" t="str">
        <f t="shared" si="10"/>
        <v/>
      </c>
      <c r="HR83" s="4" t="str">
        <f t="shared" si="11"/>
        <v/>
      </c>
      <c r="HS83" s="4" t="str">
        <f t="shared" si="12"/>
        <v/>
      </c>
      <c r="HT83" s="4" t="str">
        <f t="shared" si="13"/>
        <v/>
      </c>
      <c r="HU83" s="4" t="str">
        <f t="shared" si="14"/>
        <v/>
      </c>
      <c r="HV83" s="4" t="str">
        <f t="shared" si="15"/>
        <v/>
      </c>
      <c r="HW83" s="4" t="str">
        <f t="shared" si="16"/>
        <v/>
      </c>
      <c r="HX83" s="4" t="str">
        <f t="shared" si="17"/>
        <v/>
      </c>
      <c r="HY83" s="4" t="str">
        <f t="shared" si="18"/>
        <v/>
      </c>
      <c r="HZ83" s="4" t="str">
        <f t="shared" si="19"/>
        <v/>
      </c>
      <c r="IA83" s="4" t="str">
        <f t="shared" si="20"/>
        <v/>
      </c>
      <c r="IB83" s="4" t="str">
        <f t="shared" si="21"/>
        <v/>
      </c>
      <c r="IC83" s="4" t="str">
        <f t="shared" si="22"/>
        <v/>
      </c>
      <c r="ID83" s="4" t="str">
        <f t="shared" si="23"/>
        <v/>
      </c>
      <c r="IE83" s="4" t="str">
        <f t="shared" si="24"/>
        <v/>
      </c>
      <c r="IF83" s="4" t="str">
        <f t="shared" si="25"/>
        <v/>
      </c>
      <c r="IG83" s="4" t="str">
        <f t="shared" si="26"/>
        <v/>
      </c>
      <c r="IH83" s="4" t="str">
        <f t="shared" si="27"/>
        <v/>
      </c>
      <c r="II83" s="4" t="str">
        <f t="shared" si="28"/>
        <v/>
      </c>
      <c r="IJ83" s="4" t="str">
        <f t="shared" si="29"/>
        <v/>
      </c>
      <c r="IK83" s="4" t="str">
        <f t="shared" si="30"/>
        <v/>
      </c>
      <c r="IL83" s="4" t="str">
        <f t="shared" si="31"/>
        <v/>
      </c>
      <c r="IM83" s="4" t="str">
        <f t="shared" si="32"/>
        <v/>
      </c>
      <c r="IN83" s="4" t="str">
        <f t="shared" si="33"/>
        <v/>
      </c>
      <c r="IO83" s="4" t="str">
        <f t="shared" si="34"/>
        <v/>
      </c>
      <c r="IP83" s="4" t="str">
        <f t="shared" si="35"/>
        <v/>
      </c>
      <c r="IQ83" s="4" t="str">
        <f t="shared" si="36"/>
        <v/>
      </c>
      <c r="IR83" s="4" t="str">
        <f t="shared" si="37"/>
        <v/>
      </c>
      <c r="IS83" s="4" t="str">
        <f t="shared" si="38"/>
        <v/>
      </c>
      <c r="IT83" s="4" t="str">
        <f t="shared" si="39"/>
        <v/>
      </c>
      <c r="IU83" s="4" t="str">
        <f t="shared" si="40"/>
        <v/>
      </c>
      <c r="IV83" s="4" t="str">
        <f t="shared" si="41"/>
        <v/>
      </c>
      <c r="IW83" s="4" t="str">
        <f t="shared" si="42"/>
        <v/>
      </c>
      <c r="IX83" s="4" t="str">
        <f t="shared" si="43"/>
        <v/>
      </c>
      <c r="IY83" s="4" t="str">
        <f t="shared" si="44"/>
        <v/>
      </c>
      <c r="IZ83" s="4" t="str">
        <f t="shared" si="45"/>
        <v/>
      </c>
      <c r="JA83" s="4" t="str">
        <f t="shared" ref="JA83:JB83" si="299">if(ISERROR(SEARCH("Higher Education",BB83)),"","810")</f>
        <v/>
      </c>
      <c r="JB83" s="4" t="str">
        <f t="shared" si="299"/>
        <v/>
      </c>
      <c r="JC83" s="4" t="str">
        <f t="shared" si="47"/>
        <v/>
      </c>
      <c r="JD83" s="4" t="str">
        <f t="shared" si="48"/>
        <v/>
      </c>
      <c r="JE83" s="4" t="str">
        <f t="shared" si="49"/>
        <v/>
      </c>
      <c r="JF83" s="4" t="str">
        <f t="shared" si="50"/>
        <v/>
      </c>
      <c r="JG83" s="4" t="str">
        <f t="shared" si="51"/>
        <v/>
      </c>
      <c r="JH83" s="4" t="str">
        <f t="shared" si="52"/>
        <v/>
      </c>
      <c r="JI83" s="4" t="str">
        <f t="shared" si="53"/>
        <v/>
      </c>
      <c r="JJ83" s="4" t="str">
        <f t="shared" si="54"/>
        <v/>
      </c>
      <c r="JK83" s="4" t="str">
        <f t="shared" si="55"/>
        <v/>
      </c>
      <c r="JL83" s="4" t="str">
        <f t="shared" si="56"/>
        <v/>
      </c>
      <c r="JM83" s="4" t="str">
        <f t="shared" si="57"/>
        <v/>
      </c>
      <c r="JN83" s="4" t="str">
        <f t="shared" si="58"/>
        <v/>
      </c>
      <c r="JO83" s="4" t="str">
        <f t="shared" si="59"/>
        <v/>
      </c>
      <c r="JP83" s="4" t="str">
        <f t="shared" si="60"/>
        <v/>
      </c>
      <c r="JQ83" s="4" t="str">
        <f t="shared" si="61"/>
        <v/>
      </c>
      <c r="JR83" s="4" t="str">
        <f t="shared" si="62"/>
        <v/>
      </c>
      <c r="JS83" s="4" t="str">
        <f t="shared" si="63"/>
        <v/>
      </c>
      <c r="JT83" s="4" t="str">
        <f t="shared" si="64"/>
        <v/>
      </c>
      <c r="JU83" s="4" t="str">
        <f t="shared" si="65"/>
        <v/>
      </c>
      <c r="JV83" s="4" t="str">
        <f t="shared" si="66"/>
        <v/>
      </c>
      <c r="JW83" s="4" t="str">
        <f t="shared" si="67"/>
        <v/>
      </c>
      <c r="JX83" s="4" t="str">
        <f t="shared" si="68"/>
        <v/>
      </c>
      <c r="JY83" s="4" t="str">
        <f t="shared" si="69"/>
        <v/>
      </c>
      <c r="JZ83" s="4" t="str">
        <f t="shared" si="70"/>
        <v/>
      </c>
      <c r="KA83" s="4" t="str">
        <f t="shared" si="71"/>
        <v/>
      </c>
      <c r="KB83" s="4" t="str">
        <f t="shared" si="72"/>
        <v/>
      </c>
      <c r="KC83" s="4" t="str">
        <f t="shared" si="73"/>
        <v/>
      </c>
      <c r="KD83" s="4" t="str">
        <f t="shared" si="74"/>
        <v/>
      </c>
      <c r="KE83" s="4" t="str">
        <f t="shared" si="75"/>
        <v/>
      </c>
      <c r="KF83" s="4" t="str">
        <f t="shared" si="76"/>
        <v/>
      </c>
      <c r="KG83" s="4" t="str">
        <f t="shared" si="77"/>
        <v/>
      </c>
      <c r="KH83" s="4" t="str">
        <f t="shared" si="78"/>
        <v/>
      </c>
      <c r="KI83" s="4" t="str">
        <f t="shared" si="79"/>
        <v/>
      </c>
      <c r="KJ83" s="4" t="str">
        <f t="shared" si="80"/>
        <v/>
      </c>
      <c r="KK83" s="4" t="str">
        <f t="shared" si="81"/>
        <v/>
      </c>
      <c r="KL83" s="4" t="str">
        <f t="shared" si="82"/>
        <v/>
      </c>
      <c r="KM83" s="4" t="str">
        <f t="shared" si="83"/>
        <v/>
      </c>
      <c r="KN83" s="4" t="str">
        <f t="shared" si="84"/>
        <v/>
      </c>
      <c r="KO83" s="4" t="str">
        <f t="shared" si="85"/>
        <v/>
      </c>
      <c r="KP83" s="4" t="str">
        <f t="shared" si="86"/>
        <v/>
      </c>
      <c r="KQ83" s="4" t="str">
        <f t="shared" si="87"/>
        <v/>
      </c>
      <c r="KR83" s="4" t="str">
        <f t="shared" si="88"/>
        <v/>
      </c>
      <c r="KS83" s="4" t="str">
        <f t="shared" si="89"/>
        <v/>
      </c>
      <c r="KT83" s="4" t="str">
        <f t="shared" si="90"/>
        <v/>
      </c>
      <c r="KU83" s="4" t="str">
        <f t="shared" si="91"/>
        <v/>
      </c>
      <c r="KV83" s="4" t="str">
        <f t="shared" si="92"/>
        <v/>
      </c>
      <c r="KW83" s="4" t="str">
        <f t="shared" si="93"/>
        <v/>
      </c>
      <c r="KX83" s="4" t="str">
        <f t="shared" si="94"/>
        <v/>
      </c>
      <c r="KY83" s="4" t="str">
        <f t="shared" si="95"/>
        <v/>
      </c>
      <c r="KZ83" s="4" t="str">
        <f t="shared" si="96"/>
        <v/>
      </c>
      <c r="LA83" s="4" t="str">
        <f t="shared" si="97"/>
        <v/>
      </c>
      <c r="LB83" s="4" t="str">
        <f t="shared" si="98"/>
        <v/>
      </c>
      <c r="LC83" s="4" t="str">
        <f t="shared" si="99"/>
        <v/>
      </c>
      <c r="LD83" s="4" t="str">
        <f t="shared" si="100"/>
        <v/>
      </c>
      <c r="LE83" s="4" t="str">
        <f t="shared" si="101"/>
        <v/>
      </c>
      <c r="LF83" s="4" t="str">
        <f t="shared" si="102"/>
        <v/>
      </c>
      <c r="LG83" s="4" t="str">
        <f t="shared" si="103"/>
        <v/>
      </c>
      <c r="LH83" s="4" t="str">
        <f t="shared" si="104"/>
        <v/>
      </c>
      <c r="LI83" s="4" t="str">
        <f t="shared" si="105"/>
        <v/>
      </c>
      <c r="LJ83" s="4" t="str">
        <f t="shared" si="106"/>
        <v/>
      </c>
      <c r="LK83" s="4" t="str">
        <f t="shared" si="107"/>
        <v/>
      </c>
      <c r="LL83" s="4" t="str">
        <f t="shared" si="108"/>
        <v/>
      </c>
      <c r="LM83" s="4" t="str">
        <f t="shared" si="109"/>
        <v/>
      </c>
      <c r="LN83" s="4" t="str">
        <f t="shared" si="110"/>
        <v/>
      </c>
      <c r="LO83" s="4" t="str">
        <f t="shared" si="111"/>
        <v/>
      </c>
      <c r="LP83" s="4" t="str">
        <f t="shared" si="112"/>
        <v/>
      </c>
      <c r="LQ83" s="4" t="str">
        <f t="shared" si="113"/>
        <v/>
      </c>
      <c r="LR83" s="4" t="str">
        <f t="shared" si="114"/>
        <v/>
      </c>
      <c r="LS83" s="4" t="str">
        <f t="shared" si="115"/>
        <v/>
      </c>
      <c r="LT83" s="4" t="str">
        <f t="shared" si="116"/>
        <v/>
      </c>
      <c r="LU83" s="4" t="str">
        <f t="shared" si="117"/>
        <v/>
      </c>
      <c r="LV83" s="4" t="str">
        <f t="shared" si="118"/>
        <v/>
      </c>
      <c r="LW83" s="4" t="str">
        <f t="shared" si="119"/>
        <v/>
      </c>
      <c r="LX83" s="4" t="str">
        <f t="shared" si="120"/>
        <v/>
      </c>
      <c r="LY83" s="4" t="str">
        <f t="shared" si="121"/>
        <v/>
      </c>
      <c r="LZ83" s="4" t="str">
        <f t="shared" si="122"/>
        <v/>
      </c>
      <c r="MA83" s="4" t="str">
        <f t="shared" si="123"/>
        <v/>
      </c>
      <c r="MB83" s="4" t="str">
        <f t="shared" si="124"/>
        <v/>
      </c>
      <c r="MC83" s="4" t="str">
        <f t="shared" si="125"/>
        <v/>
      </c>
      <c r="MD83" s="4" t="str">
        <f t="shared" si="126"/>
        <v/>
      </c>
      <c r="ME83" s="4" t="str">
        <f t="shared" si="127"/>
        <v/>
      </c>
      <c r="MF83" s="4" t="str">
        <f t="shared" si="128"/>
        <v/>
      </c>
      <c r="MG83" s="4" t="str">
        <f t="shared" si="129"/>
        <v/>
      </c>
      <c r="MH83" s="4" t="str">
        <f t="shared" si="130"/>
        <v/>
      </c>
      <c r="MI83" s="4" t="str">
        <f t="shared" si="131"/>
        <v/>
      </c>
      <c r="MJ83" s="4" t="str">
        <f t="shared" si="132"/>
        <v/>
      </c>
      <c r="MK83" s="4" t="str">
        <f t="shared" si="133"/>
        <v/>
      </c>
      <c r="ML83" s="4" t="str">
        <f t="shared" si="134"/>
        <v/>
      </c>
      <c r="MM83" s="4" t="str">
        <f t="shared" si="135"/>
        <v/>
      </c>
      <c r="MN83" s="4" t="str">
        <f t="shared" si="136"/>
        <v/>
      </c>
      <c r="MO83" s="4" t="str">
        <f t="shared" si="137"/>
        <v/>
      </c>
      <c r="MP83" s="4" t="str">
        <f t="shared" si="138"/>
        <v/>
      </c>
      <c r="MQ83" s="4" t="str">
        <f t="shared" si="139"/>
        <v/>
      </c>
      <c r="MR83" s="4" t="str">
        <f t="shared" si="140"/>
        <v/>
      </c>
      <c r="MS83" s="4" t="str">
        <f t="shared" si="141"/>
        <v/>
      </c>
      <c r="MT83" s="4" t="str">
        <f t="shared" si="142"/>
        <v/>
      </c>
      <c r="MU83" s="4" t="str">
        <f t="shared" si="143"/>
        <v/>
      </c>
      <c r="MV83" s="4" t="str">
        <f t="shared" si="144"/>
        <v/>
      </c>
      <c r="MW83" s="4" t="str">
        <f t="shared" si="145"/>
        <v/>
      </c>
      <c r="MX83" s="4" t="str">
        <f t="shared" si="146"/>
        <v/>
      </c>
      <c r="MY83" s="4" t="str">
        <f t="shared" si="147"/>
        <v/>
      </c>
      <c r="MZ83" s="4" t="str">
        <f t="shared" si="148"/>
        <v/>
      </c>
      <c r="NA83" s="4" t="str">
        <f t="shared" si="149"/>
        <v/>
      </c>
      <c r="NB83" s="4" t="str">
        <f t="shared" si="150"/>
        <v/>
      </c>
      <c r="NC83" s="4" t="str">
        <f t="shared" si="151"/>
        <v/>
      </c>
      <c r="ND83" s="4" t="str">
        <f t="shared" si="152"/>
        <v/>
      </c>
      <c r="NE83" s="4" t="str">
        <f t="shared" si="153"/>
        <v/>
      </c>
      <c r="NF83" s="4" t="str">
        <f t="shared" si="154"/>
        <v/>
      </c>
      <c r="NG83" s="4" t="str">
        <f t="shared" si="155"/>
        <v/>
      </c>
      <c r="NH83" s="4" t="str">
        <f t="shared" si="156"/>
        <v/>
      </c>
      <c r="NI83" s="4" t="str">
        <f t="shared" si="157"/>
        <v/>
      </c>
      <c r="NJ83" s="4" t="str">
        <f t="shared" si="158"/>
        <v/>
      </c>
      <c r="NK83" s="4" t="str">
        <f t="shared" si="159"/>
        <v/>
      </c>
      <c r="NL83" s="4" t="str">
        <f t="shared" si="160"/>
        <v/>
      </c>
      <c r="NM83" s="4" t="str">
        <f t="shared" si="161"/>
        <v/>
      </c>
      <c r="NN83" s="4" t="str">
        <f t="shared" si="162"/>
        <v/>
      </c>
      <c r="NO83" s="4" t="str">
        <f t="shared" si="163"/>
        <v/>
      </c>
      <c r="NP83" s="4" t="str">
        <f t="shared" si="164"/>
        <v/>
      </c>
      <c r="NQ83" s="4" t="str">
        <f t="shared" si="165"/>
        <v/>
      </c>
      <c r="NR83" s="4" t="str">
        <f t="shared" si="166"/>
        <v/>
      </c>
      <c r="NS83" s="4" t="str">
        <f t="shared" si="167"/>
        <v/>
      </c>
      <c r="NT83" s="4" t="str">
        <f t="shared" si="168"/>
        <v/>
      </c>
      <c r="NU83" s="4" t="str">
        <f t="shared" si="169"/>
        <v/>
      </c>
      <c r="NV83" s="4" t="str">
        <f t="shared" si="170"/>
        <v/>
      </c>
      <c r="NW83" s="4" t="str">
        <f t="shared" si="171"/>
        <v/>
      </c>
      <c r="NX83" s="4" t="str">
        <f t="shared" si="172"/>
        <v/>
      </c>
      <c r="NY83" s="4" t="str">
        <f t="shared" si="173"/>
        <v/>
      </c>
      <c r="NZ83" s="4" t="str">
        <f t="shared" si="174"/>
        <v/>
      </c>
      <c r="OA83" s="4" t="str">
        <f t="shared" si="175"/>
        <v/>
      </c>
      <c r="OB83" s="4" t="str">
        <f t="shared" si="176"/>
        <v/>
      </c>
      <c r="OC83" s="4" t="str">
        <f t="shared" si="177"/>
        <v/>
      </c>
      <c r="OD83" s="4" t="str">
        <f t="shared" si="178"/>
        <v/>
      </c>
      <c r="OE83" s="4" t="str">
        <f t="shared" si="179"/>
        <v/>
      </c>
      <c r="OF83" s="4" t="str">
        <f t="shared" si="180"/>
        <v/>
      </c>
      <c r="OG83" s="4" t="str">
        <f t="shared" si="181"/>
        <v/>
      </c>
      <c r="OH83" s="4" t="str">
        <f t="shared" si="182"/>
        <v/>
      </c>
      <c r="OI83" s="4" t="str">
        <f t="shared" si="183"/>
        <v/>
      </c>
      <c r="OJ83" s="4" t="str">
        <f t="shared" si="184"/>
        <v/>
      </c>
      <c r="OK83" s="4" t="str">
        <f t="shared" si="185"/>
        <v/>
      </c>
      <c r="OL83" s="4" t="str">
        <f t="shared" si="186"/>
        <v/>
      </c>
      <c r="OM83" s="4" t="str">
        <f t="shared" si="187"/>
        <v/>
      </c>
      <c r="ON83" s="4" t="str">
        <f t="shared" si="188"/>
        <v/>
      </c>
      <c r="OO83" s="4" t="str">
        <f t="shared" si="189"/>
        <v/>
      </c>
      <c r="OP83" s="4" t="str">
        <f t="shared" si="190"/>
        <v/>
      </c>
      <c r="OQ83" s="4" t="str">
        <f t="shared" si="191"/>
        <v/>
      </c>
      <c r="OR83" s="4" t="str">
        <f t="shared" si="192"/>
        <v/>
      </c>
      <c r="OS83" s="4" t="str">
        <f t="shared" si="193"/>
        <v/>
      </c>
      <c r="OT83" s="4" t="str">
        <f t="shared" si="194"/>
        <v/>
      </c>
      <c r="OU83" s="4" t="str">
        <f t="shared" si="195"/>
        <v/>
      </c>
      <c r="OV83" s="4" t="str">
        <f t="shared" si="196"/>
        <v/>
      </c>
      <c r="OW83" s="4" t="str">
        <f t="shared" si="197"/>
        <v/>
      </c>
      <c r="OX83" s="4" t="str">
        <f t="shared" si="198"/>
        <v/>
      </c>
      <c r="OY83" s="4" t="str">
        <f t="shared" si="199"/>
        <v/>
      </c>
      <c r="OZ83" s="4" t="str">
        <f t="shared" si="200"/>
        <v/>
      </c>
      <c r="PA83" s="4" t="str">
        <f t="shared" si="201"/>
        <v/>
      </c>
      <c r="PB83" s="4" t="str">
        <f t="shared" si="202"/>
        <v/>
      </c>
      <c r="PC83" s="4" t="str">
        <f t="shared" si="203"/>
        <v/>
      </c>
      <c r="PD83" s="4" t="str">
        <f t="shared" si="204"/>
        <v/>
      </c>
      <c r="PE83" s="4" t="str">
        <f t="shared" si="205"/>
        <v/>
      </c>
      <c r="PF83" s="4" t="str">
        <f t="shared" si="206"/>
        <v/>
      </c>
      <c r="PG83" s="4" t="str">
        <f t="shared" si="207"/>
        <v/>
      </c>
      <c r="PH83" s="4" t="str">
        <f t="shared" si="208"/>
        <v/>
      </c>
      <c r="PI83" s="4" t="str">
        <f t="shared" si="209"/>
        <v/>
      </c>
      <c r="PJ83" s="4" t="str">
        <f t="shared" si="210"/>
        <v/>
      </c>
      <c r="PK83" s="4" t="str">
        <f t="shared" si="211"/>
        <v/>
      </c>
      <c r="PL83" s="4" t="str">
        <f t="shared" si="212"/>
        <v/>
      </c>
      <c r="PM83" s="4" t="str">
        <f t="shared" si="213"/>
        <v/>
      </c>
      <c r="PN83" s="4" t="str">
        <f t="shared" si="214"/>
        <v/>
      </c>
      <c r="PO83" s="4" t="str">
        <f t="shared" si="215"/>
        <v/>
      </c>
      <c r="PP83" s="4" t="str">
        <f t="shared" si="216"/>
        <v/>
      </c>
      <c r="PQ83" s="4" t="str">
        <f t="shared" si="217"/>
        <v/>
      </c>
      <c r="PR83" s="4" t="str">
        <f t="shared" si="218"/>
        <v/>
      </c>
      <c r="PS83" s="4" t="str">
        <f t="shared" si="219"/>
        <v/>
      </c>
    </row>
    <row r="84">
      <c r="HI84" s="4" t="str">
        <f t="shared" si="2"/>
        <v/>
      </c>
      <c r="HJ84" s="4" t="str">
        <f t="shared" si="3"/>
        <v/>
      </c>
      <c r="HK84" s="4" t="str">
        <f t="shared" si="4"/>
        <v/>
      </c>
      <c r="HL84" s="4" t="str">
        <f t="shared" si="5"/>
        <v/>
      </c>
      <c r="HM84" s="4" t="str">
        <f t="shared" si="6"/>
        <v/>
      </c>
      <c r="HN84" s="4" t="str">
        <f t="shared" si="7"/>
        <v/>
      </c>
      <c r="HO84" s="4" t="str">
        <f t="shared" si="8"/>
        <v/>
      </c>
      <c r="HP84" s="4" t="str">
        <f t="shared" si="9"/>
        <v/>
      </c>
      <c r="HQ84" s="4" t="str">
        <f t="shared" si="10"/>
        <v/>
      </c>
      <c r="HR84" s="4" t="str">
        <f t="shared" si="11"/>
        <v/>
      </c>
      <c r="HS84" s="4" t="str">
        <f t="shared" si="12"/>
        <v/>
      </c>
      <c r="HT84" s="4" t="str">
        <f t="shared" si="13"/>
        <v/>
      </c>
      <c r="HU84" s="4" t="str">
        <f t="shared" si="14"/>
        <v/>
      </c>
      <c r="HV84" s="4" t="str">
        <f t="shared" si="15"/>
        <v/>
      </c>
      <c r="HW84" s="4" t="str">
        <f t="shared" si="16"/>
        <v/>
      </c>
      <c r="HX84" s="4" t="str">
        <f t="shared" si="17"/>
        <v/>
      </c>
      <c r="HY84" s="4" t="str">
        <f t="shared" si="18"/>
        <v/>
      </c>
      <c r="HZ84" s="4" t="str">
        <f t="shared" si="19"/>
        <v/>
      </c>
      <c r="IA84" s="4" t="str">
        <f t="shared" si="20"/>
        <v/>
      </c>
      <c r="IB84" s="4" t="str">
        <f t="shared" si="21"/>
        <v/>
      </c>
      <c r="IC84" s="4" t="str">
        <f t="shared" si="22"/>
        <v/>
      </c>
      <c r="ID84" s="4" t="str">
        <f t="shared" si="23"/>
        <v/>
      </c>
      <c r="IE84" s="4" t="str">
        <f t="shared" si="24"/>
        <v/>
      </c>
      <c r="IF84" s="4" t="str">
        <f t="shared" si="25"/>
        <v/>
      </c>
      <c r="IG84" s="4" t="str">
        <f t="shared" si="26"/>
        <v/>
      </c>
      <c r="IH84" s="4" t="str">
        <f t="shared" si="27"/>
        <v/>
      </c>
      <c r="II84" s="4" t="str">
        <f t="shared" si="28"/>
        <v/>
      </c>
      <c r="IJ84" s="4" t="str">
        <f t="shared" si="29"/>
        <v/>
      </c>
      <c r="IK84" s="4" t="str">
        <f t="shared" si="30"/>
        <v/>
      </c>
      <c r="IL84" s="4" t="str">
        <f t="shared" si="31"/>
        <v/>
      </c>
      <c r="IM84" s="4" t="str">
        <f t="shared" si="32"/>
        <v/>
      </c>
      <c r="IN84" s="4" t="str">
        <f t="shared" si="33"/>
        <v/>
      </c>
      <c r="IO84" s="4" t="str">
        <f t="shared" si="34"/>
        <v/>
      </c>
      <c r="IP84" s="4" t="str">
        <f t="shared" si="35"/>
        <v/>
      </c>
      <c r="IQ84" s="4" t="str">
        <f t="shared" si="36"/>
        <v/>
      </c>
      <c r="IR84" s="4" t="str">
        <f t="shared" si="37"/>
        <v/>
      </c>
      <c r="IS84" s="4" t="str">
        <f t="shared" si="38"/>
        <v/>
      </c>
      <c r="IT84" s="4" t="str">
        <f t="shared" si="39"/>
        <v/>
      </c>
      <c r="IU84" s="4" t="str">
        <f t="shared" si="40"/>
        <v/>
      </c>
      <c r="IV84" s="4" t="str">
        <f t="shared" si="41"/>
        <v/>
      </c>
      <c r="IW84" s="4" t="str">
        <f t="shared" si="42"/>
        <v/>
      </c>
      <c r="IX84" s="4" t="str">
        <f t="shared" si="43"/>
        <v/>
      </c>
      <c r="IY84" s="4" t="str">
        <f t="shared" si="44"/>
        <v/>
      </c>
      <c r="IZ84" s="4" t="str">
        <f t="shared" si="45"/>
        <v/>
      </c>
      <c r="JA84" s="4" t="str">
        <f t="shared" ref="JA84:JB84" si="300">if(ISERROR(SEARCH("Higher Education",BB84)),"","810")</f>
        <v/>
      </c>
      <c r="JB84" s="4" t="str">
        <f t="shared" si="300"/>
        <v/>
      </c>
      <c r="JC84" s="4" t="str">
        <f t="shared" si="47"/>
        <v/>
      </c>
      <c r="JD84" s="4" t="str">
        <f t="shared" si="48"/>
        <v/>
      </c>
      <c r="JE84" s="4" t="str">
        <f t="shared" si="49"/>
        <v/>
      </c>
      <c r="JF84" s="4" t="str">
        <f t="shared" si="50"/>
        <v/>
      </c>
      <c r="JG84" s="4" t="str">
        <f t="shared" si="51"/>
        <v/>
      </c>
      <c r="JH84" s="4" t="str">
        <f t="shared" si="52"/>
        <v/>
      </c>
      <c r="JI84" s="4" t="str">
        <f t="shared" si="53"/>
        <v/>
      </c>
      <c r="JJ84" s="4" t="str">
        <f t="shared" si="54"/>
        <v/>
      </c>
      <c r="JK84" s="4" t="str">
        <f t="shared" si="55"/>
        <v/>
      </c>
      <c r="JL84" s="4" t="str">
        <f t="shared" si="56"/>
        <v/>
      </c>
      <c r="JM84" s="4" t="str">
        <f t="shared" si="57"/>
        <v/>
      </c>
      <c r="JN84" s="4" t="str">
        <f t="shared" si="58"/>
        <v/>
      </c>
      <c r="JO84" s="4" t="str">
        <f t="shared" si="59"/>
        <v/>
      </c>
      <c r="JP84" s="4" t="str">
        <f t="shared" si="60"/>
        <v/>
      </c>
      <c r="JQ84" s="4" t="str">
        <f t="shared" si="61"/>
        <v/>
      </c>
      <c r="JR84" s="4" t="str">
        <f t="shared" si="62"/>
        <v/>
      </c>
      <c r="JS84" s="4" t="str">
        <f t="shared" si="63"/>
        <v/>
      </c>
      <c r="JT84" s="4" t="str">
        <f t="shared" si="64"/>
        <v/>
      </c>
      <c r="JU84" s="4" t="str">
        <f t="shared" si="65"/>
        <v/>
      </c>
      <c r="JV84" s="4" t="str">
        <f t="shared" si="66"/>
        <v/>
      </c>
      <c r="JW84" s="4" t="str">
        <f t="shared" si="67"/>
        <v/>
      </c>
      <c r="JX84" s="4" t="str">
        <f t="shared" si="68"/>
        <v/>
      </c>
      <c r="JY84" s="4" t="str">
        <f t="shared" si="69"/>
        <v/>
      </c>
      <c r="JZ84" s="4" t="str">
        <f t="shared" si="70"/>
        <v/>
      </c>
      <c r="KA84" s="4" t="str">
        <f t="shared" si="71"/>
        <v/>
      </c>
      <c r="KB84" s="4" t="str">
        <f t="shared" si="72"/>
        <v/>
      </c>
      <c r="KC84" s="4" t="str">
        <f t="shared" si="73"/>
        <v/>
      </c>
      <c r="KD84" s="4" t="str">
        <f t="shared" si="74"/>
        <v/>
      </c>
      <c r="KE84" s="4" t="str">
        <f t="shared" si="75"/>
        <v/>
      </c>
      <c r="KF84" s="4" t="str">
        <f t="shared" si="76"/>
        <v/>
      </c>
      <c r="KG84" s="4" t="str">
        <f t="shared" si="77"/>
        <v/>
      </c>
      <c r="KH84" s="4" t="str">
        <f t="shared" si="78"/>
        <v/>
      </c>
      <c r="KI84" s="4" t="str">
        <f t="shared" si="79"/>
        <v/>
      </c>
      <c r="KJ84" s="4" t="str">
        <f t="shared" si="80"/>
        <v/>
      </c>
      <c r="KK84" s="4" t="str">
        <f t="shared" si="81"/>
        <v/>
      </c>
      <c r="KL84" s="4" t="str">
        <f t="shared" si="82"/>
        <v/>
      </c>
      <c r="KM84" s="4" t="str">
        <f t="shared" si="83"/>
        <v/>
      </c>
      <c r="KN84" s="4" t="str">
        <f t="shared" si="84"/>
        <v/>
      </c>
      <c r="KO84" s="4" t="str">
        <f t="shared" si="85"/>
        <v/>
      </c>
      <c r="KP84" s="4" t="str">
        <f t="shared" si="86"/>
        <v/>
      </c>
      <c r="KQ84" s="4" t="str">
        <f t="shared" si="87"/>
        <v/>
      </c>
      <c r="KR84" s="4" t="str">
        <f t="shared" si="88"/>
        <v/>
      </c>
      <c r="KS84" s="4" t="str">
        <f t="shared" si="89"/>
        <v/>
      </c>
      <c r="KT84" s="4" t="str">
        <f t="shared" si="90"/>
        <v/>
      </c>
      <c r="KU84" s="4" t="str">
        <f t="shared" si="91"/>
        <v/>
      </c>
      <c r="KV84" s="4" t="str">
        <f t="shared" si="92"/>
        <v/>
      </c>
      <c r="KW84" s="4" t="str">
        <f t="shared" si="93"/>
        <v/>
      </c>
      <c r="KX84" s="4" t="str">
        <f t="shared" si="94"/>
        <v/>
      </c>
      <c r="KY84" s="4" t="str">
        <f t="shared" si="95"/>
        <v/>
      </c>
      <c r="KZ84" s="4" t="str">
        <f t="shared" si="96"/>
        <v/>
      </c>
      <c r="LA84" s="4" t="str">
        <f t="shared" si="97"/>
        <v/>
      </c>
      <c r="LB84" s="4" t="str">
        <f t="shared" si="98"/>
        <v/>
      </c>
      <c r="LC84" s="4" t="str">
        <f t="shared" si="99"/>
        <v/>
      </c>
      <c r="LD84" s="4" t="str">
        <f t="shared" si="100"/>
        <v/>
      </c>
      <c r="LE84" s="4" t="str">
        <f t="shared" si="101"/>
        <v/>
      </c>
      <c r="LF84" s="4" t="str">
        <f t="shared" si="102"/>
        <v/>
      </c>
      <c r="LG84" s="4" t="str">
        <f t="shared" si="103"/>
        <v/>
      </c>
      <c r="LH84" s="4" t="str">
        <f t="shared" si="104"/>
        <v/>
      </c>
      <c r="LI84" s="4" t="str">
        <f t="shared" si="105"/>
        <v/>
      </c>
      <c r="LJ84" s="4" t="str">
        <f t="shared" si="106"/>
        <v/>
      </c>
      <c r="LK84" s="4" t="str">
        <f t="shared" si="107"/>
        <v/>
      </c>
      <c r="LL84" s="4" t="str">
        <f t="shared" si="108"/>
        <v/>
      </c>
      <c r="LM84" s="4" t="str">
        <f t="shared" si="109"/>
        <v/>
      </c>
      <c r="LN84" s="4" t="str">
        <f t="shared" si="110"/>
        <v/>
      </c>
      <c r="LO84" s="4" t="str">
        <f t="shared" si="111"/>
        <v/>
      </c>
      <c r="LP84" s="4" t="str">
        <f t="shared" si="112"/>
        <v/>
      </c>
      <c r="LQ84" s="4" t="str">
        <f t="shared" si="113"/>
        <v/>
      </c>
      <c r="LR84" s="4" t="str">
        <f t="shared" si="114"/>
        <v/>
      </c>
      <c r="LS84" s="4" t="str">
        <f t="shared" si="115"/>
        <v/>
      </c>
      <c r="LT84" s="4" t="str">
        <f t="shared" si="116"/>
        <v/>
      </c>
      <c r="LU84" s="4" t="str">
        <f t="shared" si="117"/>
        <v/>
      </c>
      <c r="LV84" s="4" t="str">
        <f t="shared" si="118"/>
        <v/>
      </c>
      <c r="LW84" s="4" t="str">
        <f t="shared" si="119"/>
        <v/>
      </c>
      <c r="LX84" s="4" t="str">
        <f t="shared" si="120"/>
        <v/>
      </c>
      <c r="LY84" s="4" t="str">
        <f t="shared" si="121"/>
        <v/>
      </c>
      <c r="LZ84" s="4" t="str">
        <f t="shared" si="122"/>
        <v/>
      </c>
      <c r="MA84" s="4" t="str">
        <f t="shared" si="123"/>
        <v/>
      </c>
      <c r="MB84" s="4" t="str">
        <f t="shared" si="124"/>
        <v/>
      </c>
      <c r="MC84" s="4" t="str">
        <f t="shared" si="125"/>
        <v/>
      </c>
      <c r="MD84" s="4" t="str">
        <f t="shared" si="126"/>
        <v/>
      </c>
      <c r="ME84" s="4" t="str">
        <f t="shared" si="127"/>
        <v/>
      </c>
      <c r="MF84" s="4" t="str">
        <f t="shared" si="128"/>
        <v/>
      </c>
      <c r="MG84" s="4" t="str">
        <f t="shared" si="129"/>
        <v/>
      </c>
      <c r="MH84" s="4" t="str">
        <f t="shared" si="130"/>
        <v/>
      </c>
      <c r="MI84" s="4" t="str">
        <f t="shared" si="131"/>
        <v/>
      </c>
      <c r="MJ84" s="4" t="str">
        <f t="shared" si="132"/>
        <v/>
      </c>
      <c r="MK84" s="4" t="str">
        <f t="shared" si="133"/>
        <v/>
      </c>
      <c r="ML84" s="4" t="str">
        <f t="shared" si="134"/>
        <v/>
      </c>
      <c r="MM84" s="4" t="str">
        <f t="shared" si="135"/>
        <v/>
      </c>
      <c r="MN84" s="4" t="str">
        <f t="shared" si="136"/>
        <v/>
      </c>
      <c r="MO84" s="4" t="str">
        <f t="shared" si="137"/>
        <v/>
      </c>
      <c r="MP84" s="4" t="str">
        <f t="shared" si="138"/>
        <v/>
      </c>
      <c r="MQ84" s="4" t="str">
        <f t="shared" si="139"/>
        <v/>
      </c>
      <c r="MR84" s="4" t="str">
        <f t="shared" si="140"/>
        <v/>
      </c>
      <c r="MS84" s="4" t="str">
        <f t="shared" si="141"/>
        <v/>
      </c>
      <c r="MT84" s="4" t="str">
        <f t="shared" si="142"/>
        <v/>
      </c>
      <c r="MU84" s="4" t="str">
        <f t="shared" si="143"/>
        <v/>
      </c>
      <c r="MV84" s="4" t="str">
        <f t="shared" si="144"/>
        <v/>
      </c>
      <c r="MW84" s="4" t="str">
        <f t="shared" si="145"/>
        <v/>
      </c>
      <c r="MX84" s="4" t="str">
        <f t="shared" si="146"/>
        <v/>
      </c>
      <c r="MY84" s="4" t="str">
        <f t="shared" si="147"/>
        <v/>
      </c>
      <c r="MZ84" s="4" t="str">
        <f t="shared" si="148"/>
        <v/>
      </c>
      <c r="NA84" s="4" t="str">
        <f t="shared" si="149"/>
        <v/>
      </c>
      <c r="NB84" s="4" t="str">
        <f t="shared" si="150"/>
        <v/>
      </c>
      <c r="NC84" s="4" t="str">
        <f t="shared" si="151"/>
        <v/>
      </c>
      <c r="ND84" s="4" t="str">
        <f t="shared" si="152"/>
        <v/>
      </c>
      <c r="NE84" s="4" t="str">
        <f t="shared" si="153"/>
        <v/>
      </c>
      <c r="NF84" s="4" t="str">
        <f t="shared" si="154"/>
        <v/>
      </c>
      <c r="NG84" s="4" t="str">
        <f t="shared" si="155"/>
        <v/>
      </c>
      <c r="NH84" s="4" t="str">
        <f t="shared" si="156"/>
        <v/>
      </c>
      <c r="NI84" s="4" t="str">
        <f t="shared" si="157"/>
        <v/>
      </c>
      <c r="NJ84" s="4" t="str">
        <f t="shared" si="158"/>
        <v/>
      </c>
      <c r="NK84" s="4" t="str">
        <f t="shared" si="159"/>
        <v/>
      </c>
      <c r="NL84" s="4" t="str">
        <f t="shared" si="160"/>
        <v/>
      </c>
      <c r="NM84" s="4" t="str">
        <f t="shared" si="161"/>
        <v/>
      </c>
      <c r="NN84" s="4" t="str">
        <f t="shared" si="162"/>
        <v/>
      </c>
      <c r="NO84" s="4" t="str">
        <f t="shared" si="163"/>
        <v/>
      </c>
      <c r="NP84" s="4" t="str">
        <f t="shared" si="164"/>
        <v/>
      </c>
      <c r="NQ84" s="4" t="str">
        <f t="shared" si="165"/>
        <v/>
      </c>
      <c r="NR84" s="4" t="str">
        <f t="shared" si="166"/>
        <v/>
      </c>
      <c r="NS84" s="4" t="str">
        <f t="shared" si="167"/>
        <v/>
      </c>
      <c r="NT84" s="4" t="str">
        <f t="shared" si="168"/>
        <v/>
      </c>
      <c r="NU84" s="4" t="str">
        <f t="shared" si="169"/>
        <v/>
      </c>
      <c r="NV84" s="4" t="str">
        <f t="shared" si="170"/>
        <v/>
      </c>
      <c r="NW84" s="4" t="str">
        <f t="shared" si="171"/>
        <v/>
      </c>
      <c r="NX84" s="4" t="str">
        <f t="shared" si="172"/>
        <v/>
      </c>
      <c r="NY84" s="4" t="str">
        <f t="shared" si="173"/>
        <v/>
      </c>
      <c r="NZ84" s="4" t="str">
        <f t="shared" si="174"/>
        <v/>
      </c>
      <c r="OA84" s="4" t="str">
        <f t="shared" si="175"/>
        <v/>
      </c>
      <c r="OB84" s="4" t="str">
        <f t="shared" si="176"/>
        <v/>
      </c>
      <c r="OC84" s="4" t="str">
        <f t="shared" si="177"/>
        <v/>
      </c>
      <c r="OD84" s="4" t="str">
        <f t="shared" si="178"/>
        <v/>
      </c>
      <c r="OE84" s="4" t="str">
        <f t="shared" si="179"/>
        <v/>
      </c>
      <c r="OF84" s="4" t="str">
        <f t="shared" si="180"/>
        <v/>
      </c>
      <c r="OG84" s="4" t="str">
        <f t="shared" si="181"/>
        <v/>
      </c>
      <c r="OH84" s="4" t="str">
        <f t="shared" si="182"/>
        <v/>
      </c>
      <c r="OI84" s="4" t="str">
        <f t="shared" si="183"/>
        <v/>
      </c>
      <c r="OJ84" s="4" t="str">
        <f t="shared" si="184"/>
        <v/>
      </c>
      <c r="OK84" s="4" t="str">
        <f t="shared" si="185"/>
        <v/>
      </c>
      <c r="OL84" s="4" t="str">
        <f t="shared" si="186"/>
        <v/>
      </c>
      <c r="OM84" s="4" t="str">
        <f t="shared" si="187"/>
        <v/>
      </c>
      <c r="ON84" s="4" t="str">
        <f t="shared" si="188"/>
        <v/>
      </c>
      <c r="OO84" s="4" t="str">
        <f t="shared" si="189"/>
        <v/>
      </c>
      <c r="OP84" s="4" t="str">
        <f t="shared" si="190"/>
        <v/>
      </c>
      <c r="OQ84" s="4" t="str">
        <f t="shared" si="191"/>
        <v/>
      </c>
      <c r="OR84" s="4" t="str">
        <f t="shared" si="192"/>
        <v/>
      </c>
      <c r="OS84" s="4" t="str">
        <f t="shared" si="193"/>
        <v/>
      </c>
      <c r="OT84" s="4" t="str">
        <f t="shared" si="194"/>
        <v/>
      </c>
      <c r="OU84" s="4" t="str">
        <f t="shared" si="195"/>
        <v/>
      </c>
      <c r="OV84" s="4" t="str">
        <f t="shared" si="196"/>
        <v/>
      </c>
      <c r="OW84" s="4" t="str">
        <f t="shared" si="197"/>
        <v/>
      </c>
      <c r="OX84" s="4" t="str">
        <f t="shared" si="198"/>
        <v/>
      </c>
      <c r="OY84" s="4" t="str">
        <f t="shared" si="199"/>
        <v/>
      </c>
      <c r="OZ84" s="4" t="str">
        <f t="shared" si="200"/>
        <v/>
      </c>
      <c r="PA84" s="4" t="str">
        <f t="shared" si="201"/>
        <v/>
      </c>
      <c r="PB84" s="4" t="str">
        <f t="shared" si="202"/>
        <v/>
      </c>
      <c r="PC84" s="4" t="str">
        <f t="shared" si="203"/>
        <v/>
      </c>
      <c r="PD84" s="4" t="str">
        <f t="shared" si="204"/>
        <v/>
      </c>
      <c r="PE84" s="4" t="str">
        <f t="shared" si="205"/>
        <v/>
      </c>
      <c r="PF84" s="4" t="str">
        <f t="shared" si="206"/>
        <v/>
      </c>
      <c r="PG84" s="4" t="str">
        <f t="shared" si="207"/>
        <v/>
      </c>
      <c r="PH84" s="4" t="str">
        <f t="shared" si="208"/>
        <v/>
      </c>
      <c r="PI84" s="4" t="str">
        <f t="shared" si="209"/>
        <v/>
      </c>
      <c r="PJ84" s="4" t="str">
        <f t="shared" si="210"/>
        <v/>
      </c>
      <c r="PK84" s="4" t="str">
        <f t="shared" si="211"/>
        <v/>
      </c>
      <c r="PL84" s="4" t="str">
        <f t="shared" si="212"/>
        <v/>
      </c>
      <c r="PM84" s="4" t="str">
        <f t="shared" si="213"/>
        <v/>
      </c>
      <c r="PN84" s="4" t="str">
        <f t="shared" si="214"/>
        <v/>
      </c>
      <c r="PO84" s="4" t="str">
        <f t="shared" si="215"/>
        <v/>
      </c>
      <c r="PP84" s="4" t="str">
        <f t="shared" si="216"/>
        <v/>
      </c>
      <c r="PQ84" s="4" t="str">
        <f t="shared" si="217"/>
        <v/>
      </c>
      <c r="PR84" s="4" t="str">
        <f t="shared" si="218"/>
        <v/>
      </c>
      <c r="PS84" s="4" t="str">
        <f t="shared" si="219"/>
        <v/>
      </c>
    </row>
    <row r="85">
      <c r="HI85" s="4" t="str">
        <f t="shared" si="2"/>
        <v/>
      </c>
      <c r="HJ85" s="4" t="str">
        <f t="shared" si="3"/>
        <v/>
      </c>
      <c r="HK85" s="4" t="str">
        <f t="shared" si="4"/>
        <v/>
      </c>
      <c r="HL85" s="4" t="str">
        <f t="shared" si="5"/>
        <v/>
      </c>
      <c r="HM85" s="4" t="str">
        <f t="shared" si="6"/>
        <v/>
      </c>
      <c r="HN85" s="4" t="str">
        <f t="shared" si="7"/>
        <v/>
      </c>
      <c r="HO85" s="4" t="str">
        <f t="shared" si="8"/>
        <v/>
      </c>
      <c r="HP85" s="4" t="str">
        <f t="shared" si="9"/>
        <v/>
      </c>
      <c r="HQ85" s="4" t="str">
        <f t="shared" si="10"/>
        <v/>
      </c>
      <c r="HR85" s="4" t="str">
        <f t="shared" si="11"/>
        <v/>
      </c>
      <c r="HS85" s="4" t="str">
        <f t="shared" si="12"/>
        <v/>
      </c>
      <c r="HT85" s="4" t="str">
        <f t="shared" si="13"/>
        <v/>
      </c>
      <c r="HU85" s="4" t="str">
        <f t="shared" si="14"/>
        <v/>
      </c>
      <c r="HV85" s="4" t="str">
        <f t="shared" si="15"/>
        <v/>
      </c>
      <c r="HW85" s="4" t="str">
        <f t="shared" si="16"/>
        <v/>
      </c>
      <c r="HX85" s="4" t="str">
        <f t="shared" si="17"/>
        <v/>
      </c>
      <c r="HY85" s="4" t="str">
        <f t="shared" si="18"/>
        <v/>
      </c>
      <c r="HZ85" s="4" t="str">
        <f t="shared" si="19"/>
        <v/>
      </c>
      <c r="IA85" s="4" t="str">
        <f t="shared" si="20"/>
        <v/>
      </c>
      <c r="IB85" s="4" t="str">
        <f t="shared" si="21"/>
        <v/>
      </c>
      <c r="IC85" s="4" t="str">
        <f t="shared" si="22"/>
        <v/>
      </c>
      <c r="ID85" s="4" t="str">
        <f t="shared" si="23"/>
        <v/>
      </c>
      <c r="IE85" s="4" t="str">
        <f t="shared" si="24"/>
        <v/>
      </c>
      <c r="IF85" s="4" t="str">
        <f t="shared" si="25"/>
        <v/>
      </c>
      <c r="IG85" s="4" t="str">
        <f t="shared" si="26"/>
        <v/>
      </c>
      <c r="IH85" s="4" t="str">
        <f t="shared" si="27"/>
        <v/>
      </c>
      <c r="II85" s="4" t="str">
        <f t="shared" si="28"/>
        <v/>
      </c>
      <c r="IJ85" s="4" t="str">
        <f t="shared" si="29"/>
        <v/>
      </c>
      <c r="IK85" s="4" t="str">
        <f t="shared" si="30"/>
        <v/>
      </c>
      <c r="IL85" s="4" t="str">
        <f t="shared" si="31"/>
        <v/>
      </c>
      <c r="IM85" s="4" t="str">
        <f t="shared" si="32"/>
        <v/>
      </c>
      <c r="IN85" s="4" t="str">
        <f t="shared" si="33"/>
        <v/>
      </c>
      <c r="IO85" s="4" t="str">
        <f t="shared" si="34"/>
        <v/>
      </c>
      <c r="IP85" s="4" t="str">
        <f t="shared" si="35"/>
        <v/>
      </c>
      <c r="IQ85" s="4" t="str">
        <f t="shared" si="36"/>
        <v/>
      </c>
      <c r="IR85" s="4" t="str">
        <f t="shared" si="37"/>
        <v/>
      </c>
      <c r="IS85" s="4" t="str">
        <f t="shared" si="38"/>
        <v/>
      </c>
      <c r="IT85" s="4" t="str">
        <f t="shared" si="39"/>
        <v/>
      </c>
      <c r="IU85" s="4" t="str">
        <f t="shared" si="40"/>
        <v/>
      </c>
      <c r="IV85" s="4" t="str">
        <f t="shared" si="41"/>
        <v/>
      </c>
      <c r="IW85" s="4" t="str">
        <f t="shared" si="42"/>
        <v/>
      </c>
      <c r="IX85" s="4" t="str">
        <f t="shared" si="43"/>
        <v/>
      </c>
      <c r="IY85" s="4" t="str">
        <f t="shared" si="44"/>
        <v/>
      </c>
      <c r="IZ85" s="4" t="str">
        <f t="shared" si="45"/>
        <v/>
      </c>
      <c r="JA85" s="4" t="str">
        <f t="shared" ref="JA85:JB85" si="301">if(ISERROR(SEARCH("Higher Education",BB85)),"","810")</f>
        <v/>
      </c>
      <c r="JB85" s="4" t="str">
        <f t="shared" si="301"/>
        <v/>
      </c>
      <c r="JC85" s="4" t="str">
        <f t="shared" si="47"/>
        <v/>
      </c>
      <c r="JD85" s="4" t="str">
        <f t="shared" si="48"/>
        <v/>
      </c>
      <c r="JE85" s="4" t="str">
        <f t="shared" si="49"/>
        <v/>
      </c>
      <c r="JF85" s="4" t="str">
        <f t="shared" si="50"/>
        <v/>
      </c>
      <c r="JG85" s="4" t="str">
        <f t="shared" si="51"/>
        <v/>
      </c>
      <c r="JH85" s="4" t="str">
        <f t="shared" si="52"/>
        <v/>
      </c>
      <c r="JI85" s="4" t="str">
        <f t="shared" si="53"/>
        <v/>
      </c>
      <c r="JJ85" s="4" t="str">
        <f t="shared" si="54"/>
        <v/>
      </c>
      <c r="JK85" s="4" t="str">
        <f t="shared" si="55"/>
        <v/>
      </c>
      <c r="JL85" s="4" t="str">
        <f t="shared" si="56"/>
        <v/>
      </c>
      <c r="JM85" s="4" t="str">
        <f t="shared" si="57"/>
        <v/>
      </c>
      <c r="JN85" s="4" t="str">
        <f t="shared" si="58"/>
        <v/>
      </c>
      <c r="JO85" s="4" t="str">
        <f t="shared" si="59"/>
        <v/>
      </c>
      <c r="JP85" s="4" t="str">
        <f t="shared" si="60"/>
        <v/>
      </c>
      <c r="JQ85" s="4" t="str">
        <f t="shared" si="61"/>
        <v/>
      </c>
      <c r="JR85" s="4" t="str">
        <f t="shared" si="62"/>
        <v/>
      </c>
      <c r="JS85" s="4" t="str">
        <f t="shared" si="63"/>
        <v/>
      </c>
      <c r="JT85" s="4" t="str">
        <f t="shared" si="64"/>
        <v/>
      </c>
      <c r="JU85" s="4" t="str">
        <f t="shared" si="65"/>
        <v/>
      </c>
      <c r="JV85" s="4" t="str">
        <f t="shared" si="66"/>
        <v/>
      </c>
      <c r="JW85" s="4" t="str">
        <f t="shared" si="67"/>
        <v/>
      </c>
      <c r="JX85" s="4" t="str">
        <f t="shared" si="68"/>
        <v/>
      </c>
      <c r="JY85" s="4" t="str">
        <f t="shared" si="69"/>
        <v/>
      </c>
      <c r="JZ85" s="4" t="str">
        <f t="shared" si="70"/>
        <v/>
      </c>
      <c r="KA85" s="4" t="str">
        <f t="shared" si="71"/>
        <v/>
      </c>
      <c r="KB85" s="4" t="str">
        <f t="shared" si="72"/>
        <v/>
      </c>
      <c r="KC85" s="4" t="str">
        <f t="shared" si="73"/>
        <v/>
      </c>
      <c r="KD85" s="4" t="str">
        <f t="shared" si="74"/>
        <v/>
      </c>
      <c r="KE85" s="4" t="str">
        <f t="shared" si="75"/>
        <v/>
      </c>
      <c r="KF85" s="4" t="str">
        <f t="shared" si="76"/>
        <v/>
      </c>
      <c r="KG85" s="4" t="str">
        <f t="shared" si="77"/>
        <v/>
      </c>
      <c r="KH85" s="4" t="str">
        <f t="shared" si="78"/>
        <v/>
      </c>
      <c r="KI85" s="4" t="str">
        <f t="shared" si="79"/>
        <v/>
      </c>
      <c r="KJ85" s="4" t="str">
        <f t="shared" si="80"/>
        <v/>
      </c>
      <c r="KK85" s="4" t="str">
        <f t="shared" si="81"/>
        <v/>
      </c>
      <c r="KL85" s="4" t="str">
        <f t="shared" si="82"/>
        <v/>
      </c>
      <c r="KM85" s="4" t="str">
        <f t="shared" si="83"/>
        <v/>
      </c>
      <c r="KN85" s="4" t="str">
        <f t="shared" si="84"/>
        <v/>
      </c>
      <c r="KO85" s="4" t="str">
        <f t="shared" si="85"/>
        <v/>
      </c>
      <c r="KP85" s="4" t="str">
        <f t="shared" si="86"/>
        <v/>
      </c>
      <c r="KQ85" s="4" t="str">
        <f t="shared" si="87"/>
        <v/>
      </c>
      <c r="KR85" s="4" t="str">
        <f t="shared" si="88"/>
        <v/>
      </c>
      <c r="KS85" s="4" t="str">
        <f t="shared" si="89"/>
        <v/>
      </c>
      <c r="KT85" s="4" t="str">
        <f t="shared" si="90"/>
        <v/>
      </c>
      <c r="KU85" s="4" t="str">
        <f t="shared" si="91"/>
        <v/>
      </c>
      <c r="KV85" s="4" t="str">
        <f t="shared" si="92"/>
        <v/>
      </c>
      <c r="KW85" s="4" t="str">
        <f t="shared" si="93"/>
        <v/>
      </c>
      <c r="KX85" s="4" t="str">
        <f t="shared" si="94"/>
        <v/>
      </c>
      <c r="KY85" s="4" t="str">
        <f t="shared" si="95"/>
        <v/>
      </c>
      <c r="KZ85" s="4" t="str">
        <f t="shared" si="96"/>
        <v/>
      </c>
      <c r="LA85" s="4" t="str">
        <f t="shared" si="97"/>
        <v/>
      </c>
      <c r="LB85" s="4" t="str">
        <f t="shared" si="98"/>
        <v/>
      </c>
      <c r="LC85" s="4" t="str">
        <f t="shared" si="99"/>
        <v/>
      </c>
      <c r="LD85" s="4" t="str">
        <f t="shared" si="100"/>
        <v/>
      </c>
      <c r="LE85" s="4" t="str">
        <f t="shared" si="101"/>
        <v/>
      </c>
      <c r="LF85" s="4" t="str">
        <f t="shared" si="102"/>
        <v/>
      </c>
      <c r="LG85" s="4" t="str">
        <f t="shared" si="103"/>
        <v/>
      </c>
      <c r="LH85" s="4" t="str">
        <f t="shared" si="104"/>
        <v/>
      </c>
      <c r="LI85" s="4" t="str">
        <f t="shared" si="105"/>
        <v/>
      </c>
      <c r="LJ85" s="4" t="str">
        <f t="shared" si="106"/>
        <v/>
      </c>
      <c r="LK85" s="4" t="str">
        <f t="shared" si="107"/>
        <v/>
      </c>
      <c r="LL85" s="4" t="str">
        <f t="shared" si="108"/>
        <v/>
      </c>
      <c r="LM85" s="4" t="str">
        <f t="shared" si="109"/>
        <v/>
      </c>
      <c r="LN85" s="4" t="str">
        <f t="shared" si="110"/>
        <v/>
      </c>
      <c r="LO85" s="4" t="str">
        <f t="shared" si="111"/>
        <v/>
      </c>
      <c r="LP85" s="4" t="str">
        <f t="shared" si="112"/>
        <v/>
      </c>
      <c r="LQ85" s="4" t="str">
        <f t="shared" si="113"/>
        <v/>
      </c>
      <c r="LR85" s="4" t="str">
        <f t="shared" si="114"/>
        <v/>
      </c>
      <c r="LS85" s="4" t="str">
        <f t="shared" si="115"/>
        <v/>
      </c>
      <c r="LT85" s="4" t="str">
        <f t="shared" si="116"/>
        <v/>
      </c>
      <c r="LU85" s="4" t="str">
        <f t="shared" si="117"/>
        <v/>
      </c>
      <c r="LV85" s="4" t="str">
        <f t="shared" si="118"/>
        <v/>
      </c>
      <c r="LW85" s="4" t="str">
        <f t="shared" si="119"/>
        <v/>
      </c>
      <c r="LX85" s="4" t="str">
        <f t="shared" si="120"/>
        <v/>
      </c>
      <c r="LY85" s="4" t="str">
        <f t="shared" si="121"/>
        <v/>
      </c>
      <c r="LZ85" s="4" t="str">
        <f t="shared" si="122"/>
        <v/>
      </c>
      <c r="MA85" s="4" t="str">
        <f t="shared" si="123"/>
        <v/>
      </c>
      <c r="MB85" s="4" t="str">
        <f t="shared" si="124"/>
        <v/>
      </c>
      <c r="MC85" s="4" t="str">
        <f t="shared" si="125"/>
        <v/>
      </c>
      <c r="MD85" s="4" t="str">
        <f t="shared" si="126"/>
        <v/>
      </c>
      <c r="ME85" s="4" t="str">
        <f t="shared" si="127"/>
        <v/>
      </c>
      <c r="MF85" s="4" t="str">
        <f t="shared" si="128"/>
        <v/>
      </c>
      <c r="MG85" s="4" t="str">
        <f t="shared" si="129"/>
        <v/>
      </c>
      <c r="MH85" s="4" t="str">
        <f t="shared" si="130"/>
        <v/>
      </c>
      <c r="MI85" s="4" t="str">
        <f t="shared" si="131"/>
        <v/>
      </c>
      <c r="MJ85" s="4" t="str">
        <f t="shared" si="132"/>
        <v/>
      </c>
      <c r="MK85" s="4" t="str">
        <f t="shared" si="133"/>
        <v/>
      </c>
      <c r="ML85" s="4" t="str">
        <f t="shared" si="134"/>
        <v/>
      </c>
      <c r="MM85" s="4" t="str">
        <f t="shared" si="135"/>
        <v/>
      </c>
      <c r="MN85" s="4" t="str">
        <f t="shared" si="136"/>
        <v/>
      </c>
      <c r="MO85" s="4" t="str">
        <f t="shared" si="137"/>
        <v/>
      </c>
      <c r="MP85" s="4" t="str">
        <f t="shared" si="138"/>
        <v/>
      </c>
      <c r="MQ85" s="4" t="str">
        <f t="shared" si="139"/>
        <v/>
      </c>
      <c r="MR85" s="4" t="str">
        <f t="shared" si="140"/>
        <v/>
      </c>
      <c r="MS85" s="4" t="str">
        <f t="shared" si="141"/>
        <v/>
      </c>
      <c r="MT85" s="4" t="str">
        <f t="shared" si="142"/>
        <v/>
      </c>
      <c r="MU85" s="4" t="str">
        <f t="shared" si="143"/>
        <v/>
      </c>
      <c r="MV85" s="4" t="str">
        <f t="shared" si="144"/>
        <v/>
      </c>
      <c r="MW85" s="4" t="str">
        <f t="shared" si="145"/>
        <v/>
      </c>
      <c r="MX85" s="4" t="str">
        <f t="shared" si="146"/>
        <v/>
      </c>
      <c r="MY85" s="4" t="str">
        <f t="shared" si="147"/>
        <v/>
      </c>
      <c r="MZ85" s="4" t="str">
        <f t="shared" si="148"/>
        <v/>
      </c>
      <c r="NA85" s="4" t="str">
        <f t="shared" si="149"/>
        <v/>
      </c>
      <c r="NB85" s="4" t="str">
        <f t="shared" si="150"/>
        <v/>
      </c>
      <c r="NC85" s="4" t="str">
        <f t="shared" si="151"/>
        <v/>
      </c>
      <c r="ND85" s="4" t="str">
        <f t="shared" si="152"/>
        <v/>
      </c>
      <c r="NE85" s="4" t="str">
        <f t="shared" si="153"/>
        <v/>
      </c>
      <c r="NF85" s="4" t="str">
        <f t="shared" si="154"/>
        <v/>
      </c>
      <c r="NG85" s="4" t="str">
        <f t="shared" si="155"/>
        <v/>
      </c>
      <c r="NH85" s="4" t="str">
        <f t="shared" si="156"/>
        <v/>
      </c>
      <c r="NI85" s="4" t="str">
        <f t="shared" si="157"/>
        <v/>
      </c>
      <c r="NJ85" s="4" t="str">
        <f t="shared" si="158"/>
        <v/>
      </c>
      <c r="NK85" s="4" t="str">
        <f t="shared" si="159"/>
        <v/>
      </c>
      <c r="NL85" s="4" t="str">
        <f t="shared" si="160"/>
        <v/>
      </c>
      <c r="NM85" s="4" t="str">
        <f t="shared" si="161"/>
        <v/>
      </c>
      <c r="NN85" s="4" t="str">
        <f t="shared" si="162"/>
        <v/>
      </c>
      <c r="NO85" s="4" t="str">
        <f t="shared" si="163"/>
        <v/>
      </c>
      <c r="NP85" s="4" t="str">
        <f t="shared" si="164"/>
        <v/>
      </c>
      <c r="NQ85" s="4" t="str">
        <f t="shared" si="165"/>
        <v/>
      </c>
      <c r="NR85" s="4" t="str">
        <f t="shared" si="166"/>
        <v/>
      </c>
      <c r="NS85" s="4" t="str">
        <f t="shared" si="167"/>
        <v/>
      </c>
      <c r="NT85" s="4" t="str">
        <f t="shared" si="168"/>
        <v/>
      </c>
      <c r="NU85" s="4" t="str">
        <f t="shared" si="169"/>
        <v/>
      </c>
      <c r="NV85" s="4" t="str">
        <f t="shared" si="170"/>
        <v/>
      </c>
      <c r="NW85" s="4" t="str">
        <f t="shared" si="171"/>
        <v/>
      </c>
      <c r="NX85" s="4" t="str">
        <f t="shared" si="172"/>
        <v/>
      </c>
      <c r="NY85" s="4" t="str">
        <f t="shared" si="173"/>
        <v/>
      </c>
      <c r="NZ85" s="4" t="str">
        <f t="shared" si="174"/>
        <v/>
      </c>
      <c r="OA85" s="4" t="str">
        <f t="shared" si="175"/>
        <v/>
      </c>
      <c r="OB85" s="4" t="str">
        <f t="shared" si="176"/>
        <v/>
      </c>
      <c r="OC85" s="4" t="str">
        <f t="shared" si="177"/>
        <v/>
      </c>
      <c r="OD85" s="4" t="str">
        <f t="shared" si="178"/>
        <v/>
      </c>
      <c r="OE85" s="4" t="str">
        <f t="shared" si="179"/>
        <v/>
      </c>
      <c r="OF85" s="4" t="str">
        <f t="shared" si="180"/>
        <v/>
      </c>
      <c r="OG85" s="4" t="str">
        <f t="shared" si="181"/>
        <v/>
      </c>
      <c r="OH85" s="4" t="str">
        <f t="shared" si="182"/>
        <v/>
      </c>
      <c r="OI85" s="4" t="str">
        <f t="shared" si="183"/>
        <v/>
      </c>
      <c r="OJ85" s="4" t="str">
        <f t="shared" si="184"/>
        <v/>
      </c>
      <c r="OK85" s="4" t="str">
        <f t="shared" si="185"/>
        <v/>
      </c>
      <c r="OL85" s="4" t="str">
        <f t="shared" si="186"/>
        <v/>
      </c>
      <c r="OM85" s="4" t="str">
        <f t="shared" si="187"/>
        <v/>
      </c>
      <c r="ON85" s="4" t="str">
        <f t="shared" si="188"/>
        <v/>
      </c>
      <c r="OO85" s="4" t="str">
        <f t="shared" si="189"/>
        <v/>
      </c>
      <c r="OP85" s="4" t="str">
        <f t="shared" si="190"/>
        <v/>
      </c>
      <c r="OQ85" s="4" t="str">
        <f t="shared" si="191"/>
        <v/>
      </c>
      <c r="OR85" s="4" t="str">
        <f t="shared" si="192"/>
        <v/>
      </c>
      <c r="OS85" s="4" t="str">
        <f t="shared" si="193"/>
        <v/>
      </c>
      <c r="OT85" s="4" t="str">
        <f t="shared" si="194"/>
        <v/>
      </c>
      <c r="OU85" s="4" t="str">
        <f t="shared" si="195"/>
        <v/>
      </c>
      <c r="OV85" s="4" t="str">
        <f t="shared" si="196"/>
        <v/>
      </c>
      <c r="OW85" s="4" t="str">
        <f t="shared" si="197"/>
        <v/>
      </c>
      <c r="OX85" s="4" t="str">
        <f t="shared" si="198"/>
        <v/>
      </c>
      <c r="OY85" s="4" t="str">
        <f t="shared" si="199"/>
        <v/>
      </c>
      <c r="OZ85" s="4" t="str">
        <f t="shared" si="200"/>
        <v/>
      </c>
      <c r="PA85" s="4" t="str">
        <f t="shared" si="201"/>
        <v/>
      </c>
      <c r="PB85" s="4" t="str">
        <f t="shared" si="202"/>
        <v/>
      </c>
      <c r="PC85" s="4" t="str">
        <f t="shared" si="203"/>
        <v/>
      </c>
      <c r="PD85" s="4" t="str">
        <f t="shared" si="204"/>
        <v/>
      </c>
      <c r="PE85" s="4" t="str">
        <f t="shared" si="205"/>
        <v/>
      </c>
      <c r="PF85" s="4" t="str">
        <f t="shared" si="206"/>
        <v/>
      </c>
      <c r="PG85" s="4" t="str">
        <f t="shared" si="207"/>
        <v/>
      </c>
      <c r="PH85" s="4" t="str">
        <f t="shared" si="208"/>
        <v/>
      </c>
      <c r="PI85" s="4" t="str">
        <f t="shared" si="209"/>
        <v/>
      </c>
      <c r="PJ85" s="4" t="str">
        <f t="shared" si="210"/>
        <v/>
      </c>
      <c r="PK85" s="4" t="str">
        <f t="shared" si="211"/>
        <v/>
      </c>
      <c r="PL85" s="4" t="str">
        <f t="shared" si="212"/>
        <v/>
      </c>
      <c r="PM85" s="4" t="str">
        <f t="shared" si="213"/>
        <v/>
      </c>
      <c r="PN85" s="4" t="str">
        <f t="shared" si="214"/>
        <v/>
      </c>
      <c r="PO85" s="4" t="str">
        <f t="shared" si="215"/>
        <v/>
      </c>
      <c r="PP85" s="4" t="str">
        <f t="shared" si="216"/>
        <v/>
      </c>
      <c r="PQ85" s="4" t="str">
        <f t="shared" si="217"/>
        <v/>
      </c>
      <c r="PR85" s="4" t="str">
        <f t="shared" si="218"/>
        <v/>
      </c>
      <c r="PS85" s="4" t="str">
        <f t="shared" si="219"/>
        <v/>
      </c>
    </row>
    <row r="86">
      <c r="HI86" s="4" t="str">
        <f t="shared" si="2"/>
        <v/>
      </c>
      <c r="HJ86" s="4" t="str">
        <f t="shared" si="3"/>
        <v/>
      </c>
      <c r="HK86" s="4" t="str">
        <f t="shared" si="4"/>
        <v/>
      </c>
      <c r="HL86" s="4" t="str">
        <f t="shared" si="5"/>
        <v/>
      </c>
      <c r="HM86" s="4" t="str">
        <f t="shared" si="6"/>
        <v/>
      </c>
      <c r="HN86" s="4" t="str">
        <f t="shared" si="7"/>
        <v/>
      </c>
      <c r="HO86" s="4" t="str">
        <f t="shared" si="8"/>
        <v/>
      </c>
      <c r="HP86" s="4" t="str">
        <f t="shared" si="9"/>
        <v/>
      </c>
      <c r="HQ86" s="4" t="str">
        <f t="shared" si="10"/>
        <v/>
      </c>
      <c r="HR86" s="4" t="str">
        <f t="shared" si="11"/>
        <v/>
      </c>
      <c r="HS86" s="4" t="str">
        <f t="shared" si="12"/>
        <v/>
      </c>
      <c r="HT86" s="4" t="str">
        <f t="shared" si="13"/>
        <v/>
      </c>
      <c r="HU86" s="4" t="str">
        <f t="shared" si="14"/>
        <v/>
      </c>
      <c r="HV86" s="4" t="str">
        <f t="shared" si="15"/>
        <v/>
      </c>
      <c r="HW86" s="4" t="str">
        <f t="shared" si="16"/>
        <v/>
      </c>
      <c r="HX86" s="4" t="str">
        <f t="shared" si="17"/>
        <v/>
      </c>
      <c r="HY86" s="4" t="str">
        <f t="shared" si="18"/>
        <v/>
      </c>
      <c r="HZ86" s="4" t="str">
        <f t="shared" si="19"/>
        <v/>
      </c>
      <c r="IA86" s="4" t="str">
        <f t="shared" si="20"/>
        <v/>
      </c>
      <c r="IB86" s="4" t="str">
        <f t="shared" si="21"/>
        <v/>
      </c>
      <c r="IC86" s="4" t="str">
        <f t="shared" si="22"/>
        <v/>
      </c>
      <c r="ID86" s="4" t="str">
        <f t="shared" si="23"/>
        <v/>
      </c>
      <c r="IE86" s="4" t="str">
        <f t="shared" si="24"/>
        <v/>
      </c>
      <c r="IF86" s="4" t="str">
        <f t="shared" si="25"/>
        <v/>
      </c>
      <c r="IG86" s="4" t="str">
        <f t="shared" si="26"/>
        <v/>
      </c>
      <c r="IH86" s="4" t="str">
        <f t="shared" si="27"/>
        <v/>
      </c>
      <c r="II86" s="4" t="str">
        <f t="shared" si="28"/>
        <v/>
      </c>
      <c r="IJ86" s="4" t="str">
        <f t="shared" si="29"/>
        <v/>
      </c>
      <c r="IK86" s="4" t="str">
        <f t="shared" si="30"/>
        <v/>
      </c>
      <c r="IL86" s="4" t="str">
        <f t="shared" si="31"/>
        <v/>
      </c>
      <c r="IM86" s="4" t="str">
        <f t="shared" si="32"/>
        <v/>
      </c>
      <c r="IN86" s="4" t="str">
        <f t="shared" si="33"/>
        <v/>
      </c>
      <c r="IO86" s="4" t="str">
        <f t="shared" si="34"/>
        <v/>
      </c>
      <c r="IP86" s="4" t="str">
        <f t="shared" si="35"/>
        <v/>
      </c>
      <c r="IQ86" s="4" t="str">
        <f t="shared" si="36"/>
        <v/>
      </c>
      <c r="IR86" s="4" t="str">
        <f t="shared" si="37"/>
        <v/>
      </c>
      <c r="IS86" s="4" t="str">
        <f t="shared" si="38"/>
        <v/>
      </c>
      <c r="IT86" s="4" t="str">
        <f t="shared" si="39"/>
        <v/>
      </c>
      <c r="IU86" s="4" t="str">
        <f t="shared" si="40"/>
        <v/>
      </c>
      <c r="IV86" s="4" t="str">
        <f t="shared" si="41"/>
        <v/>
      </c>
      <c r="IW86" s="4" t="str">
        <f t="shared" si="42"/>
        <v/>
      </c>
      <c r="IX86" s="4" t="str">
        <f t="shared" si="43"/>
        <v/>
      </c>
      <c r="IY86" s="4" t="str">
        <f t="shared" si="44"/>
        <v/>
      </c>
      <c r="IZ86" s="4" t="str">
        <f t="shared" si="45"/>
        <v/>
      </c>
      <c r="JA86" s="4" t="str">
        <f t="shared" ref="JA86:JB86" si="302">if(ISERROR(SEARCH("Higher Education",BB86)),"","810")</f>
        <v/>
      </c>
      <c r="JB86" s="4" t="str">
        <f t="shared" si="302"/>
        <v/>
      </c>
      <c r="JC86" s="4" t="str">
        <f t="shared" si="47"/>
        <v/>
      </c>
      <c r="JD86" s="4" t="str">
        <f t="shared" si="48"/>
        <v/>
      </c>
      <c r="JE86" s="4" t="str">
        <f t="shared" si="49"/>
        <v/>
      </c>
      <c r="JF86" s="4" t="str">
        <f t="shared" si="50"/>
        <v/>
      </c>
      <c r="JG86" s="4" t="str">
        <f t="shared" si="51"/>
        <v/>
      </c>
      <c r="JH86" s="4" t="str">
        <f t="shared" si="52"/>
        <v/>
      </c>
      <c r="JI86" s="4" t="str">
        <f t="shared" si="53"/>
        <v/>
      </c>
      <c r="JJ86" s="4" t="str">
        <f t="shared" si="54"/>
        <v/>
      </c>
      <c r="JK86" s="4" t="str">
        <f t="shared" si="55"/>
        <v/>
      </c>
      <c r="JL86" s="4" t="str">
        <f t="shared" si="56"/>
        <v/>
      </c>
      <c r="JM86" s="4" t="str">
        <f t="shared" si="57"/>
        <v/>
      </c>
      <c r="JN86" s="4" t="str">
        <f t="shared" si="58"/>
        <v/>
      </c>
      <c r="JO86" s="4" t="str">
        <f t="shared" si="59"/>
        <v/>
      </c>
      <c r="JP86" s="4" t="str">
        <f t="shared" si="60"/>
        <v/>
      </c>
      <c r="JQ86" s="4" t="str">
        <f t="shared" si="61"/>
        <v/>
      </c>
      <c r="JR86" s="4" t="str">
        <f t="shared" si="62"/>
        <v/>
      </c>
      <c r="JS86" s="4" t="str">
        <f t="shared" si="63"/>
        <v/>
      </c>
      <c r="JT86" s="4" t="str">
        <f t="shared" si="64"/>
        <v/>
      </c>
      <c r="JU86" s="4" t="str">
        <f t="shared" si="65"/>
        <v/>
      </c>
      <c r="JV86" s="4" t="str">
        <f t="shared" si="66"/>
        <v/>
      </c>
      <c r="JW86" s="4" t="str">
        <f t="shared" si="67"/>
        <v/>
      </c>
      <c r="JX86" s="4" t="str">
        <f t="shared" si="68"/>
        <v/>
      </c>
      <c r="JY86" s="4" t="str">
        <f t="shared" si="69"/>
        <v/>
      </c>
      <c r="JZ86" s="4" t="str">
        <f t="shared" si="70"/>
        <v/>
      </c>
      <c r="KA86" s="4" t="str">
        <f t="shared" si="71"/>
        <v/>
      </c>
      <c r="KB86" s="4" t="str">
        <f t="shared" si="72"/>
        <v/>
      </c>
      <c r="KC86" s="4" t="str">
        <f t="shared" si="73"/>
        <v/>
      </c>
      <c r="KD86" s="4" t="str">
        <f t="shared" si="74"/>
        <v/>
      </c>
      <c r="KE86" s="4" t="str">
        <f t="shared" si="75"/>
        <v/>
      </c>
      <c r="KF86" s="4" t="str">
        <f t="shared" si="76"/>
        <v/>
      </c>
      <c r="KG86" s="4" t="str">
        <f t="shared" si="77"/>
        <v/>
      </c>
      <c r="KH86" s="4" t="str">
        <f t="shared" si="78"/>
        <v/>
      </c>
      <c r="KI86" s="4" t="str">
        <f t="shared" si="79"/>
        <v/>
      </c>
      <c r="KJ86" s="4" t="str">
        <f t="shared" si="80"/>
        <v/>
      </c>
      <c r="KK86" s="4" t="str">
        <f t="shared" si="81"/>
        <v/>
      </c>
      <c r="KL86" s="4" t="str">
        <f t="shared" si="82"/>
        <v/>
      </c>
      <c r="KM86" s="4" t="str">
        <f t="shared" si="83"/>
        <v/>
      </c>
      <c r="KN86" s="4" t="str">
        <f t="shared" si="84"/>
        <v/>
      </c>
      <c r="KO86" s="4" t="str">
        <f t="shared" si="85"/>
        <v/>
      </c>
      <c r="KP86" s="4" t="str">
        <f t="shared" si="86"/>
        <v/>
      </c>
      <c r="KQ86" s="4" t="str">
        <f t="shared" si="87"/>
        <v/>
      </c>
      <c r="KR86" s="4" t="str">
        <f t="shared" si="88"/>
        <v/>
      </c>
      <c r="KS86" s="4" t="str">
        <f t="shared" si="89"/>
        <v/>
      </c>
      <c r="KT86" s="4" t="str">
        <f t="shared" si="90"/>
        <v/>
      </c>
      <c r="KU86" s="4" t="str">
        <f t="shared" si="91"/>
        <v/>
      </c>
      <c r="KV86" s="4" t="str">
        <f t="shared" si="92"/>
        <v/>
      </c>
      <c r="KW86" s="4" t="str">
        <f t="shared" si="93"/>
        <v/>
      </c>
      <c r="KX86" s="4" t="str">
        <f t="shared" si="94"/>
        <v/>
      </c>
      <c r="KY86" s="4" t="str">
        <f t="shared" si="95"/>
        <v/>
      </c>
      <c r="KZ86" s="4" t="str">
        <f t="shared" si="96"/>
        <v/>
      </c>
      <c r="LA86" s="4" t="str">
        <f t="shared" si="97"/>
        <v/>
      </c>
      <c r="LB86" s="4" t="str">
        <f t="shared" si="98"/>
        <v/>
      </c>
      <c r="LC86" s="4" t="str">
        <f t="shared" si="99"/>
        <v/>
      </c>
      <c r="LD86" s="4" t="str">
        <f t="shared" si="100"/>
        <v/>
      </c>
      <c r="LE86" s="4" t="str">
        <f t="shared" si="101"/>
        <v/>
      </c>
      <c r="LF86" s="4" t="str">
        <f t="shared" si="102"/>
        <v/>
      </c>
      <c r="LG86" s="4" t="str">
        <f t="shared" si="103"/>
        <v/>
      </c>
      <c r="LH86" s="4" t="str">
        <f t="shared" si="104"/>
        <v/>
      </c>
      <c r="LI86" s="4" t="str">
        <f t="shared" si="105"/>
        <v/>
      </c>
      <c r="LJ86" s="4" t="str">
        <f t="shared" si="106"/>
        <v/>
      </c>
      <c r="LK86" s="4" t="str">
        <f t="shared" si="107"/>
        <v/>
      </c>
      <c r="LL86" s="4" t="str">
        <f t="shared" si="108"/>
        <v/>
      </c>
      <c r="LM86" s="4" t="str">
        <f t="shared" si="109"/>
        <v/>
      </c>
      <c r="LN86" s="4" t="str">
        <f t="shared" si="110"/>
        <v/>
      </c>
      <c r="LO86" s="4" t="str">
        <f t="shared" si="111"/>
        <v/>
      </c>
      <c r="LP86" s="4" t="str">
        <f t="shared" si="112"/>
        <v/>
      </c>
      <c r="LQ86" s="4" t="str">
        <f t="shared" si="113"/>
        <v/>
      </c>
      <c r="LR86" s="4" t="str">
        <f t="shared" si="114"/>
        <v/>
      </c>
      <c r="LS86" s="4" t="str">
        <f t="shared" si="115"/>
        <v/>
      </c>
      <c r="LT86" s="4" t="str">
        <f t="shared" si="116"/>
        <v/>
      </c>
      <c r="LU86" s="4" t="str">
        <f t="shared" si="117"/>
        <v/>
      </c>
      <c r="LV86" s="4" t="str">
        <f t="shared" si="118"/>
        <v/>
      </c>
      <c r="LW86" s="4" t="str">
        <f t="shared" si="119"/>
        <v/>
      </c>
      <c r="LX86" s="4" t="str">
        <f t="shared" si="120"/>
        <v/>
      </c>
      <c r="LY86" s="4" t="str">
        <f t="shared" si="121"/>
        <v/>
      </c>
      <c r="LZ86" s="4" t="str">
        <f t="shared" si="122"/>
        <v/>
      </c>
      <c r="MA86" s="4" t="str">
        <f t="shared" si="123"/>
        <v/>
      </c>
      <c r="MB86" s="4" t="str">
        <f t="shared" si="124"/>
        <v/>
      </c>
      <c r="MC86" s="4" t="str">
        <f t="shared" si="125"/>
        <v/>
      </c>
      <c r="MD86" s="4" t="str">
        <f t="shared" si="126"/>
        <v/>
      </c>
      <c r="ME86" s="4" t="str">
        <f t="shared" si="127"/>
        <v/>
      </c>
      <c r="MF86" s="4" t="str">
        <f t="shared" si="128"/>
        <v/>
      </c>
      <c r="MG86" s="4" t="str">
        <f t="shared" si="129"/>
        <v/>
      </c>
      <c r="MH86" s="4" t="str">
        <f t="shared" si="130"/>
        <v/>
      </c>
      <c r="MI86" s="4" t="str">
        <f t="shared" si="131"/>
        <v/>
      </c>
      <c r="MJ86" s="4" t="str">
        <f t="shared" si="132"/>
        <v/>
      </c>
      <c r="MK86" s="4" t="str">
        <f t="shared" si="133"/>
        <v/>
      </c>
      <c r="ML86" s="4" t="str">
        <f t="shared" si="134"/>
        <v/>
      </c>
      <c r="MM86" s="4" t="str">
        <f t="shared" si="135"/>
        <v/>
      </c>
      <c r="MN86" s="4" t="str">
        <f t="shared" si="136"/>
        <v/>
      </c>
      <c r="MO86" s="4" t="str">
        <f t="shared" si="137"/>
        <v/>
      </c>
      <c r="MP86" s="4" t="str">
        <f t="shared" si="138"/>
        <v/>
      </c>
      <c r="MQ86" s="4" t="str">
        <f t="shared" si="139"/>
        <v/>
      </c>
      <c r="MR86" s="4" t="str">
        <f t="shared" si="140"/>
        <v/>
      </c>
      <c r="MS86" s="4" t="str">
        <f t="shared" si="141"/>
        <v/>
      </c>
      <c r="MT86" s="4" t="str">
        <f t="shared" si="142"/>
        <v/>
      </c>
      <c r="MU86" s="4" t="str">
        <f t="shared" si="143"/>
        <v/>
      </c>
      <c r="MV86" s="4" t="str">
        <f t="shared" si="144"/>
        <v/>
      </c>
      <c r="MW86" s="4" t="str">
        <f t="shared" si="145"/>
        <v/>
      </c>
      <c r="MX86" s="4" t="str">
        <f t="shared" si="146"/>
        <v/>
      </c>
      <c r="MY86" s="4" t="str">
        <f t="shared" si="147"/>
        <v/>
      </c>
      <c r="MZ86" s="4" t="str">
        <f t="shared" si="148"/>
        <v/>
      </c>
      <c r="NA86" s="4" t="str">
        <f t="shared" si="149"/>
        <v/>
      </c>
      <c r="NB86" s="4" t="str">
        <f t="shared" si="150"/>
        <v/>
      </c>
      <c r="NC86" s="4" t="str">
        <f t="shared" si="151"/>
        <v/>
      </c>
      <c r="ND86" s="4" t="str">
        <f t="shared" si="152"/>
        <v/>
      </c>
      <c r="NE86" s="4" t="str">
        <f t="shared" si="153"/>
        <v/>
      </c>
      <c r="NF86" s="4" t="str">
        <f t="shared" si="154"/>
        <v/>
      </c>
      <c r="NG86" s="4" t="str">
        <f t="shared" si="155"/>
        <v/>
      </c>
      <c r="NH86" s="4" t="str">
        <f t="shared" si="156"/>
        <v/>
      </c>
      <c r="NI86" s="4" t="str">
        <f t="shared" si="157"/>
        <v/>
      </c>
      <c r="NJ86" s="4" t="str">
        <f t="shared" si="158"/>
        <v/>
      </c>
      <c r="NK86" s="4" t="str">
        <f t="shared" si="159"/>
        <v/>
      </c>
      <c r="NL86" s="4" t="str">
        <f t="shared" si="160"/>
        <v/>
      </c>
      <c r="NM86" s="4" t="str">
        <f t="shared" si="161"/>
        <v/>
      </c>
      <c r="NN86" s="4" t="str">
        <f t="shared" si="162"/>
        <v/>
      </c>
      <c r="NO86" s="4" t="str">
        <f t="shared" si="163"/>
        <v/>
      </c>
      <c r="NP86" s="4" t="str">
        <f t="shared" si="164"/>
        <v/>
      </c>
      <c r="NQ86" s="4" t="str">
        <f t="shared" si="165"/>
        <v/>
      </c>
      <c r="NR86" s="4" t="str">
        <f t="shared" si="166"/>
        <v/>
      </c>
      <c r="NS86" s="4" t="str">
        <f t="shared" si="167"/>
        <v/>
      </c>
      <c r="NT86" s="4" t="str">
        <f t="shared" si="168"/>
        <v/>
      </c>
      <c r="NU86" s="4" t="str">
        <f t="shared" si="169"/>
        <v/>
      </c>
      <c r="NV86" s="4" t="str">
        <f t="shared" si="170"/>
        <v/>
      </c>
      <c r="NW86" s="4" t="str">
        <f t="shared" si="171"/>
        <v/>
      </c>
      <c r="NX86" s="4" t="str">
        <f t="shared" si="172"/>
        <v/>
      </c>
      <c r="NY86" s="4" t="str">
        <f t="shared" si="173"/>
        <v/>
      </c>
      <c r="NZ86" s="4" t="str">
        <f t="shared" si="174"/>
        <v/>
      </c>
      <c r="OA86" s="4" t="str">
        <f t="shared" si="175"/>
        <v/>
      </c>
      <c r="OB86" s="4" t="str">
        <f t="shared" si="176"/>
        <v/>
      </c>
      <c r="OC86" s="4" t="str">
        <f t="shared" si="177"/>
        <v/>
      </c>
      <c r="OD86" s="4" t="str">
        <f t="shared" si="178"/>
        <v/>
      </c>
      <c r="OE86" s="4" t="str">
        <f t="shared" si="179"/>
        <v/>
      </c>
      <c r="OF86" s="4" t="str">
        <f t="shared" si="180"/>
        <v/>
      </c>
      <c r="OG86" s="4" t="str">
        <f t="shared" si="181"/>
        <v/>
      </c>
      <c r="OH86" s="4" t="str">
        <f t="shared" si="182"/>
        <v/>
      </c>
      <c r="OI86" s="4" t="str">
        <f t="shared" si="183"/>
        <v/>
      </c>
      <c r="OJ86" s="4" t="str">
        <f t="shared" si="184"/>
        <v/>
      </c>
      <c r="OK86" s="4" t="str">
        <f t="shared" si="185"/>
        <v/>
      </c>
      <c r="OL86" s="4" t="str">
        <f t="shared" si="186"/>
        <v/>
      </c>
      <c r="OM86" s="4" t="str">
        <f t="shared" si="187"/>
        <v/>
      </c>
      <c r="ON86" s="4" t="str">
        <f t="shared" si="188"/>
        <v/>
      </c>
      <c r="OO86" s="4" t="str">
        <f t="shared" si="189"/>
        <v/>
      </c>
      <c r="OP86" s="4" t="str">
        <f t="shared" si="190"/>
        <v/>
      </c>
      <c r="OQ86" s="4" t="str">
        <f t="shared" si="191"/>
        <v/>
      </c>
      <c r="OR86" s="4" t="str">
        <f t="shared" si="192"/>
        <v/>
      </c>
      <c r="OS86" s="4" t="str">
        <f t="shared" si="193"/>
        <v/>
      </c>
      <c r="OT86" s="4" t="str">
        <f t="shared" si="194"/>
        <v/>
      </c>
      <c r="OU86" s="4" t="str">
        <f t="shared" si="195"/>
        <v/>
      </c>
      <c r="OV86" s="4" t="str">
        <f t="shared" si="196"/>
        <v/>
      </c>
      <c r="OW86" s="4" t="str">
        <f t="shared" si="197"/>
        <v/>
      </c>
      <c r="OX86" s="4" t="str">
        <f t="shared" si="198"/>
        <v/>
      </c>
      <c r="OY86" s="4" t="str">
        <f t="shared" si="199"/>
        <v/>
      </c>
      <c r="OZ86" s="4" t="str">
        <f t="shared" si="200"/>
        <v/>
      </c>
      <c r="PA86" s="4" t="str">
        <f t="shared" si="201"/>
        <v/>
      </c>
      <c r="PB86" s="4" t="str">
        <f t="shared" si="202"/>
        <v/>
      </c>
      <c r="PC86" s="4" t="str">
        <f t="shared" si="203"/>
        <v/>
      </c>
      <c r="PD86" s="4" t="str">
        <f t="shared" si="204"/>
        <v/>
      </c>
      <c r="PE86" s="4" t="str">
        <f t="shared" si="205"/>
        <v/>
      </c>
      <c r="PF86" s="4" t="str">
        <f t="shared" si="206"/>
        <v/>
      </c>
      <c r="PG86" s="4" t="str">
        <f t="shared" si="207"/>
        <v/>
      </c>
      <c r="PH86" s="4" t="str">
        <f t="shared" si="208"/>
        <v/>
      </c>
      <c r="PI86" s="4" t="str">
        <f t="shared" si="209"/>
        <v/>
      </c>
      <c r="PJ86" s="4" t="str">
        <f t="shared" si="210"/>
        <v/>
      </c>
      <c r="PK86" s="4" t="str">
        <f t="shared" si="211"/>
        <v/>
      </c>
      <c r="PL86" s="4" t="str">
        <f t="shared" si="212"/>
        <v/>
      </c>
      <c r="PM86" s="4" t="str">
        <f t="shared" si="213"/>
        <v/>
      </c>
      <c r="PN86" s="4" t="str">
        <f t="shared" si="214"/>
        <v/>
      </c>
      <c r="PO86" s="4" t="str">
        <f t="shared" si="215"/>
        <v/>
      </c>
      <c r="PP86" s="4" t="str">
        <f t="shared" si="216"/>
        <v/>
      </c>
      <c r="PQ86" s="4" t="str">
        <f t="shared" si="217"/>
        <v/>
      </c>
      <c r="PR86" s="4" t="str">
        <f t="shared" si="218"/>
        <v/>
      </c>
      <c r="PS86" s="4" t="str">
        <f t="shared" si="219"/>
        <v/>
      </c>
    </row>
    <row r="87">
      <c r="HI87" s="4" t="str">
        <f t="shared" si="2"/>
        <v/>
      </c>
      <c r="HJ87" s="4" t="str">
        <f t="shared" si="3"/>
        <v/>
      </c>
      <c r="HK87" s="4" t="str">
        <f t="shared" si="4"/>
        <v/>
      </c>
      <c r="HL87" s="4" t="str">
        <f t="shared" si="5"/>
        <v/>
      </c>
      <c r="HM87" s="4" t="str">
        <f t="shared" si="6"/>
        <v/>
      </c>
      <c r="HN87" s="4" t="str">
        <f t="shared" si="7"/>
        <v/>
      </c>
      <c r="HO87" s="4" t="str">
        <f t="shared" si="8"/>
        <v/>
      </c>
      <c r="HP87" s="4" t="str">
        <f t="shared" si="9"/>
        <v/>
      </c>
      <c r="HQ87" s="4" t="str">
        <f t="shared" si="10"/>
        <v/>
      </c>
      <c r="HR87" s="4" t="str">
        <f t="shared" si="11"/>
        <v/>
      </c>
      <c r="HS87" s="4" t="str">
        <f t="shared" si="12"/>
        <v/>
      </c>
      <c r="HT87" s="4" t="str">
        <f t="shared" si="13"/>
        <v/>
      </c>
      <c r="HU87" s="4" t="str">
        <f t="shared" si="14"/>
        <v/>
      </c>
      <c r="HV87" s="4" t="str">
        <f t="shared" si="15"/>
        <v/>
      </c>
      <c r="HW87" s="4" t="str">
        <f t="shared" si="16"/>
        <v/>
      </c>
      <c r="HX87" s="4" t="str">
        <f t="shared" si="17"/>
        <v/>
      </c>
      <c r="HY87" s="4" t="str">
        <f t="shared" si="18"/>
        <v/>
      </c>
      <c r="HZ87" s="4" t="str">
        <f t="shared" si="19"/>
        <v/>
      </c>
      <c r="IA87" s="4" t="str">
        <f t="shared" si="20"/>
        <v/>
      </c>
      <c r="IB87" s="4" t="str">
        <f t="shared" si="21"/>
        <v/>
      </c>
      <c r="IC87" s="4" t="str">
        <f t="shared" si="22"/>
        <v/>
      </c>
      <c r="ID87" s="4" t="str">
        <f t="shared" si="23"/>
        <v/>
      </c>
      <c r="IE87" s="4" t="str">
        <f t="shared" si="24"/>
        <v/>
      </c>
      <c r="IF87" s="4" t="str">
        <f t="shared" si="25"/>
        <v/>
      </c>
      <c r="IG87" s="4" t="str">
        <f t="shared" si="26"/>
        <v/>
      </c>
      <c r="IH87" s="4" t="str">
        <f t="shared" si="27"/>
        <v/>
      </c>
      <c r="II87" s="4" t="str">
        <f t="shared" si="28"/>
        <v/>
      </c>
      <c r="IJ87" s="4" t="str">
        <f t="shared" si="29"/>
        <v/>
      </c>
      <c r="IK87" s="4" t="str">
        <f t="shared" si="30"/>
        <v/>
      </c>
      <c r="IL87" s="4" t="str">
        <f t="shared" si="31"/>
        <v/>
      </c>
      <c r="IM87" s="4" t="str">
        <f t="shared" si="32"/>
        <v/>
      </c>
      <c r="IN87" s="4" t="str">
        <f t="shared" si="33"/>
        <v/>
      </c>
      <c r="IO87" s="4" t="str">
        <f t="shared" si="34"/>
        <v/>
      </c>
      <c r="IP87" s="4" t="str">
        <f t="shared" si="35"/>
        <v/>
      </c>
      <c r="IQ87" s="4" t="str">
        <f t="shared" si="36"/>
        <v/>
      </c>
      <c r="IR87" s="4" t="str">
        <f t="shared" si="37"/>
        <v/>
      </c>
      <c r="IS87" s="4" t="str">
        <f t="shared" si="38"/>
        <v/>
      </c>
      <c r="IT87" s="4" t="str">
        <f t="shared" si="39"/>
        <v/>
      </c>
      <c r="IU87" s="4" t="str">
        <f t="shared" si="40"/>
        <v/>
      </c>
      <c r="IV87" s="4" t="str">
        <f t="shared" si="41"/>
        <v/>
      </c>
      <c r="IW87" s="4" t="str">
        <f t="shared" si="42"/>
        <v/>
      </c>
      <c r="IX87" s="4" t="str">
        <f t="shared" si="43"/>
        <v/>
      </c>
      <c r="IY87" s="4" t="str">
        <f t="shared" si="44"/>
        <v/>
      </c>
      <c r="IZ87" s="4" t="str">
        <f t="shared" si="45"/>
        <v/>
      </c>
      <c r="JA87" s="4" t="str">
        <f t="shared" ref="JA87:JB87" si="303">if(ISERROR(SEARCH("Higher Education",BB87)),"","810")</f>
        <v/>
      </c>
      <c r="JB87" s="4" t="str">
        <f t="shared" si="303"/>
        <v/>
      </c>
      <c r="JC87" s="4" t="str">
        <f t="shared" si="47"/>
        <v/>
      </c>
      <c r="JD87" s="4" t="str">
        <f t="shared" si="48"/>
        <v/>
      </c>
      <c r="JE87" s="4" t="str">
        <f t="shared" si="49"/>
        <v/>
      </c>
      <c r="JF87" s="4" t="str">
        <f t="shared" si="50"/>
        <v/>
      </c>
      <c r="JG87" s="4" t="str">
        <f t="shared" si="51"/>
        <v/>
      </c>
      <c r="JH87" s="4" t="str">
        <f t="shared" si="52"/>
        <v/>
      </c>
      <c r="JI87" s="4" t="str">
        <f t="shared" si="53"/>
        <v/>
      </c>
      <c r="JJ87" s="4" t="str">
        <f t="shared" si="54"/>
        <v/>
      </c>
      <c r="JK87" s="4" t="str">
        <f t="shared" si="55"/>
        <v/>
      </c>
      <c r="JL87" s="4" t="str">
        <f t="shared" si="56"/>
        <v/>
      </c>
      <c r="JM87" s="4" t="str">
        <f t="shared" si="57"/>
        <v/>
      </c>
      <c r="JN87" s="4" t="str">
        <f t="shared" si="58"/>
        <v/>
      </c>
      <c r="JO87" s="4" t="str">
        <f t="shared" si="59"/>
        <v/>
      </c>
      <c r="JP87" s="4" t="str">
        <f t="shared" si="60"/>
        <v/>
      </c>
      <c r="JQ87" s="4" t="str">
        <f t="shared" si="61"/>
        <v/>
      </c>
      <c r="JR87" s="4" t="str">
        <f t="shared" si="62"/>
        <v/>
      </c>
      <c r="JS87" s="4" t="str">
        <f t="shared" si="63"/>
        <v/>
      </c>
      <c r="JT87" s="4" t="str">
        <f t="shared" si="64"/>
        <v/>
      </c>
      <c r="JU87" s="4" t="str">
        <f t="shared" si="65"/>
        <v/>
      </c>
      <c r="JV87" s="4" t="str">
        <f t="shared" si="66"/>
        <v/>
      </c>
      <c r="JW87" s="4" t="str">
        <f t="shared" si="67"/>
        <v/>
      </c>
      <c r="JX87" s="4" t="str">
        <f t="shared" si="68"/>
        <v/>
      </c>
      <c r="JY87" s="4" t="str">
        <f t="shared" si="69"/>
        <v/>
      </c>
      <c r="JZ87" s="4" t="str">
        <f t="shared" si="70"/>
        <v/>
      </c>
      <c r="KA87" s="4" t="str">
        <f t="shared" si="71"/>
        <v/>
      </c>
      <c r="KB87" s="4" t="str">
        <f t="shared" si="72"/>
        <v/>
      </c>
      <c r="KC87" s="4" t="str">
        <f t="shared" si="73"/>
        <v/>
      </c>
      <c r="KD87" s="4" t="str">
        <f t="shared" si="74"/>
        <v/>
      </c>
      <c r="KE87" s="4" t="str">
        <f t="shared" si="75"/>
        <v/>
      </c>
      <c r="KF87" s="4" t="str">
        <f t="shared" si="76"/>
        <v/>
      </c>
      <c r="KG87" s="4" t="str">
        <f t="shared" si="77"/>
        <v/>
      </c>
      <c r="KH87" s="4" t="str">
        <f t="shared" si="78"/>
        <v/>
      </c>
      <c r="KI87" s="4" t="str">
        <f t="shared" si="79"/>
        <v/>
      </c>
      <c r="KJ87" s="4" t="str">
        <f t="shared" si="80"/>
        <v/>
      </c>
      <c r="KK87" s="4" t="str">
        <f t="shared" si="81"/>
        <v/>
      </c>
      <c r="KL87" s="4" t="str">
        <f t="shared" si="82"/>
        <v/>
      </c>
      <c r="KM87" s="4" t="str">
        <f t="shared" si="83"/>
        <v/>
      </c>
      <c r="KN87" s="4" t="str">
        <f t="shared" si="84"/>
        <v/>
      </c>
      <c r="KO87" s="4" t="str">
        <f t="shared" si="85"/>
        <v/>
      </c>
      <c r="KP87" s="4" t="str">
        <f t="shared" si="86"/>
        <v/>
      </c>
      <c r="KQ87" s="4" t="str">
        <f t="shared" si="87"/>
        <v/>
      </c>
      <c r="KR87" s="4" t="str">
        <f t="shared" si="88"/>
        <v/>
      </c>
      <c r="KS87" s="4" t="str">
        <f t="shared" si="89"/>
        <v/>
      </c>
      <c r="KT87" s="4" t="str">
        <f t="shared" si="90"/>
        <v/>
      </c>
      <c r="KU87" s="4" t="str">
        <f t="shared" si="91"/>
        <v/>
      </c>
      <c r="KV87" s="4" t="str">
        <f t="shared" si="92"/>
        <v/>
      </c>
      <c r="KW87" s="4" t="str">
        <f t="shared" si="93"/>
        <v/>
      </c>
      <c r="KX87" s="4" t="str">
        <f t="shared" si="94"/>
        <v/>
      </c>
      <c r="KY87" s="4" t="str">
        <f t="shared" si="95"/>
        <v/>
      </c>
      <c r="KZ87" s="4" t="str">
        <f t="shared" si="96"/>
        <v/>
      </c>
      <c r="LA87" s="4" t="str">
        <f t="shared" si="97"/>
        <v/>
      </c>
      <c r="LB87" s="4" t="str">
        <f t="shared" si="98"/>
        <v/>
      </c>
      <c r="LC87" s="4" t="str">
        <f t="shared" si="99"/>
        <v/>
      </c>
      <c r="LD87" s="4" t="str">
        <f t="shared" si="100"/>
        <v/>
      </c>
      <c r="LE87" s="4" t="str">
        <f t="shared" si="101"/>
        <v/>
      </c>
      <c r="LF87" s="4" t="str">
        <f t="shared" si="102"/>
        <v/>
      </c>
      <c r="LG87" s="4" t="str">
        <f t="shared" si="103"/>
        <v/>
      </c>
      <c r="LH87" s="4" t="str">
        <f t="shared" si="104"/>
        <v/>
      </c>
      <c r="LI87" s="4" t="str">
        <f t="shared" si="105"/>
        <v/>
      </c>
      <c r="LJ87" s="4" t="str">
        <f t="shared" si="106"/>
        <v/>
      </c>
      <c r="LK87" s="4" t="str">
        <f t="shared" si="107"/>
        <v/>
      </c>
      <c r="LL87" s="4" t="str">
        <f t="shared" si="108"/>
        <v/>
      </c>
      <c r="LM87" s="4" t="str">
        <f t="shared" si="109"/>
        <v/>
      </c>
      <c r="LN87" s="4" t="str">
        <f t="shared" si="110"/>
        <v/>
      </c>
      <c r="LO87" s="4" t="str">
        <f t="shared" si="111"/>
        <v/>
      </c>
      <c r="LP87" s="4" t="str">
        <f t="shared" si="112"/>
        <v/>
      </c>
      <c r="LQ87" s="4" t="str">
        <f t="shared" si="113"/>
        <v/>
      </c>
      <c r="LR87" s="4" t="str">
        <f t="shared" si="114"/>
        <v/>
      </c>
      <c r="LS87" s="4" t="str">
        <f t="shared" si="115"/>
        <v/>
      </c>
      <c r="LT87" s="4" t="str">
        <f t="shared" si="116"/>
        <v/>
      </c>
      <c r="LU87" s="4" t="str">
        <f t="shared" si="117"/>
        <v/>
      </c>
      <c r="LV87" s="4" t="str">
        <f t="shared" si="118"/>
        <v/>
      </c>
      <c r="LW87" s="4" t="str">
        <f t="shared" si="119"/>
        <v/>
      </c>
      <c r="LX87" s="4" t="str">
        <f t="shared" si="120"/>
        <v/>
      </c>
      <c r="LY87" s="4" t="str">
        <f t="shared" si="121"/>
        <v/>
      </c>
      <c r="LZ87" s="4" t="str">
        <f t="shared" si="122"/>
        <v/>
      </c>
      <c r="MA87" s="4" t="str">
        <f t="shared" si="123"/>
        <v/>
      </c>
      <c r="MB87" s="4" t="str">
        <f t="shared" si="124"/>
        <v/>
      </c>
      <c r="MC87" s="4" t="str">
        <f t="shared" si="125"/>
        <v/>
      </c>
      <c r="MD87" s="4" t="str">
        <f t="shared" si="126"/>
        <v/>
      </c>
      <c r="ME87" s="4" t="str">
        <f t="shared" si="127"/>
        <v/>
      </c>
      <c r="MF87" s="4" t="str">
        <f t="shared" si="128"/>
        <v/>
      </c>
      <c r="MG87" s="4" t="str">
        <f t="shared" si="129"/>
        <v/>
      </c>
      <c r="MH87" s="4" t="str">
        <f t="shared" si="130"/>
        <v/>
      </c>
      <c r="MI87" s="4" t="str">
        <f t="shared" si="131"/>
        <v/>
      </c>
      <c r="MJ87" s="4" t="str">
        <f t="shared" si="132"/>
        <v/>
      </c>
      <c r="MK87" s="4" t="str">
        <f t="shared" si="133"/>
        <v/>
      </c>
      <c r="ML87" s="4" t="str">
        <f t="shared" si="134"/>
        <v/>
      </c>
      <c r="MM87" s="4" t="str">
        <f t="shared" si="135"/>
        <v/>
      </c>
      <c r="MN87" s="4" t="str">
        <f t="shared" si="136"/>
        <v/>
      </c>
      <c r="MO87" s="4" t="str">
        <f t="shared" si="137"/>
        <v/>
      </c>
      <c r="MP87" s="4" t="str">
        <f t="shared" si="138"/>
        <v/>
      </c>
      <c r="MQ87" s="4" t="str">
        <f t="shared" si="139"/>
        <v/>
      </c>
      <c r="MR87" s="4" t="str">
        <f t="shared" si="140"/>
        <v/>
      </c>
      <c r="MS87" s="4" t="str">
        <f t="shared" si="141"/>
        <v/>
      </c>
      <c r="MT87" s="4" t="str">
        <f t="shared" si="142"/>
        <v/>
      </c>
      <c r="MU87" s="4" t="str">
        <f t="shared" si="143"/>
        <v/>
      </c>
      <c r="MV87" s="4" t="str">
        <f t="shared" si="144"/>
        <v/>
      </c>
      <c r="MW87" s="4" t="str">
        <f t="shared" si="145"/>
        <v/>
      </c>
      <c r="MX87" s="4" t="str">
        <f t="shared" si="146"/>
        <v/>
      </c>
      <c r="MY87" s="4" t="str">
        <f t="shared" si="147"/>
        <v/>
      </c>
      <c r="MZ87" s="4" t="str">
        <f t="shared" si="148"/>
        <v/>
      </c>
      <c r="NA87" s="4" t="str">
        <f t="shared" si="149"/>
        <v/>
      </c>
      <c r="NB87" s="4" t="str">
        <f t="shared" si="150"/>
        <v/>
      </c>
      <c r="NC87" s="4" t="str">
        <f t="shared" si="151"/>
        <v/>
      </c>
      <c r="ND87" s="4" t="str">
        <f t="shared" si="152"/>
        <v/>
      </c>
      <c r="NE87" s="4" t="str">
        <f t="shared" si="153"/>
        <v/>
      </c>
      <c r="NF87" s="4" t="str">
        <f t="shared" si="154"/>
        <v/>
      </c>
      <c r="NG87" s="4" t="str">
        <f t="shared" si="155"/>
        <v/>
      </c>
      <c r="NH87" s="4" t="str">
        <f t="shared" si="156"/>
        <v/>
      </c>
      <c r="NI87" s="4" t="str">
        <f t="shared" si="157"/>
        <v/>
      </c>
      <c r="NJ87" s="4" t="str">
        <f t="shared" si="158"/>
        <v/>
      </c>
      <c r="NK87" s="4" t="str">
        <f t="shared" si="159"/>
        <v/>
      </c>
      <c r="NL87" s="4" t="str">
        <f t="shared" si="160"/>
        <v/>
      </c>
      <c r="NM87" s="4" t="str">
        <f t="shared" si="161"/>
        <v/>
      </c>
      <c r="NN87" s="4" t="str">
        <f t="shared" si="162"/>
        <v/>
      </c>
      <c r="NO87" s="4" t="str">
        <f t="shared" si="163"/>
        <v/>
      </c>
      <c r="NP87" s="4" t="str">
        <f t="shared" si="164"/>
        <v/>
      </c>
      <c r="NQ87" s="4" t="str">
        <f t="shared" si="165"/>
        <v/>
      </c>
      <c r="NR87" s="4" t="str">
        <f t="shared" si="166"/>
        <v/>
      </c>
      <c r="NS87" s="4" t="str">
        <f t="shared" si="167"/>
        <v/>
      </c>
      <c r="NT87" s="4" t="str">
        <f t="shared" si="168"/>
        <v/>
      </c>
      <c r="NU87" s="4" t="str">
        <f t="shared" si="169"/>
        <v/>
      </c>
      <c r="NV87" s="4" t="str">
        <f t="shared" si="170"/>
        <v/>
      </c>
      <c r="NW87" s="4" t="str">
        <f t="shared" si="171"/>
        <v/>
      </c>
      <c r="NX87" s="4" t="str">
        <f t="shared" si="172"/>
        <v/>
      </c>
      <c r="NY87" s="4" t="str">
        <f t="shared" si="173"/>
        <v/>
      </c>
      <c r="NZ87" s="4" t="str">
        <f t="shared" si="174"/>
        <v/>
      </c>
      <c r="OA87" s="4" t="str">
        <f t="shared" si="175"/>
        <v/>
      </c>
      <c r="OB87" s="4" t="str">
        <f t="shared" si="176"/>
        <v/>
      </c>
      <c r="OC87" s="4" t="str">
        <f t="shared" si="177"/>
        <v/>
      </c>
      <c r="OD87" s="4" t="str">
        <f t="shared" si="178"/>
        <v/>
      </c>
      <c r="OE87" s="4" t="str">
        <f t="shared" si="179"/>
        <v/>
      </c>
      <c r="OF87" s="4" t="str">
        <f t="shared" si="180"/>
        <v/>
      </c>
      <c r="OG87" s="4" t="str">
        <f t="shared" si="181"/>
        <v/>
      </c>
      <c r="OH87" s="4" t="str">
        <f t="shared" si="182"/>
        <v/>
      </c>
      <c r="OI87" s="4" t="str">
        <f t="shared" si="183"/>
        <v/>
      </c>
      <c r="OJ87" s="4" t="str">
        <f t="shared" si="184"/>
        <v/>
      </c>
      <c r="OK87" s="4" t="str">
        <f t="shared" si="185"/>
        <v/>
      </c>
      <c r="OL87" s="4" t="str">
        <f t="shared" si="186"/>
        <v/>
      </c>
      <c r="OM87" s="4" t="str">
        <f t="shared" si="187"/>
        <v/>
      </c>
      <c r="ON87" s="4" t="str">
        <f t="shared" si="188"/>
        <v/>
      </c>
      <c r="OO87" s="4" t="str">
        <f t="shared" si="189"/>
        <v/>
      </c>
      <c r="OP87" s="4" t="str">
        <f t="shared" si="190"/>
        <v/>
      </c>
      <c r="OQ87" s="4" t="str">
        <f t="shared" si="191"/>
        <v/>
      </c>
      <c r="OR87" s="4" t="str">
        <f t="shared" si="192"/>
        <v/>
      </c>
      <c r="OS87" s="4" t="str">
        <f t="shared" si="193"/>
        <v/>
      </c>
      <c r="OT87" s="4" t="str">
        <f t="shared" si="194"/>
        <v/>
      </c>
      <c r="OU87" s="4" t="str">
        <f t="shared" si="195"/>
        <v/>
      </c>
      <c r="OV87" s="4" t="str">
        <f t="shared" si="196"/>
        <v/>
      </c>
      <c r="OW87" s="4" t="str">
        <f t="shared" si="197"/>
        <v/>
      </c>
      <c r="OX87" s="4" t="str">
        <f t="shared" si="198"/>
        <v/>
      </c>
      <c r="OY87" s="4" t="str">
        <f t="shared" si="199"/>
        <v/>
      </c>
      <c r="OZ87" s="4" t="str">
        <f t="shared" si="200"/>
        <v/>
      </c>
      <c r="PA87" s="4" t="str">
        <f t="shared" si="201"/>
        <v/>
      </c>
      <c r="PB87" s="4" t="str">
        <f t="shared" si="202"/>
        <v/>
      </c>
      <c r="PC87" s="4" t="str">
        <f t="shared" si="203"/>
        <v/>
      </c>
      <c r="PD87" s="4" t="str">
        <f t="shared" si="204"/>
        <v/>
      </c>
      <c r="PE87" s="4" t="str">
        <f t="shared" si="205"/>
        <v/>
      </c>
      <c r="PF87" s="4" t="str">
        <f t="shared" si="206"/>
        <v/>
      </c>
      <c r="PG87" s="4" t="str">
        <f t="shared" si="207"/>
        <v/>
      </c>
      <c r="PH87" s="4" t="str">
        <f t="shared" si="208"/>
        <v/>
      </c>
      <c r="PI87" s="4" t="str">
        <f t="shared" si="209"/>
        <v/>
      </c>
      <c r="PJ87" s="4" t="str">
        <f t="shared" si="210"/>
        <v/>
      </c>
      <c r="PK87" s="4" t="str">
        <f t="shared" si="211"/>
        <v/>
      </c>
      <c r="PL87" s="4" t="str">
        <f t="shared" si="212"/>
        <v/>
      </c>
      <c r="PM87" s="4" t="str">
        <f t="shared" si="213"/>
        <v/>
      </c>
      <c r="PN87" s="4" t="str">
        <f t="shared" si="214"/>
        <v/>
      </c>
      <c r="PO87" s="4" t="str">
        <f t="shared" si="215"/>
        <v/>
      </c>
      <c r="PP87" s="4" t="str">
        <f t="shared" si="216"/>
        <v/>
      </c>
      <c r="PQ87" s="4" t="str">
        <f t="shared" si="217"/>
        <v/>
      </c>
      <c r="PR87" s="4" t="str">
        <f t="shared" si="218"/>
        <v/>
      </c>
      <c r="PS87" s="4" t="str">
        <f t="shared" si="219"/>
        <v/>
      </c>
    </row>
    <row r="88">
      <c r="HI88" s="4" t="str">
        <f t="shared" si="2"/>
        <v/>
      </c>
      <c r="HJ88" s="4" t="str">
        <f t="shared" si="3"/>
        <v/>
      </c>
      <c r="HK88" s="4" t="str">
        <f t="shared" si="4"/>
        <v/>
      </c>
      <c r="HL88" s="4" t="str">
        <f t="shared" si="5"/>
        <v/>
      </c>
      <c r="HM88" s="4" t="str">
        <f t="shared" si="6"/>
        <v/>
      </c>
      <c r="HN88" s="4" t="str">
        <f t="shared" si="7"/>
        <v/>
      </c>
      <c r="HO88" s="4" t="str">
        <f t="shared" si="8"/>
        <v/>
      </c>
      <c r="HP88" s="4" t="str">
        <f t="shared" si="9"/>
        <v/>
      </c>
      <c r="HQ88" s="4" t="str">
        <f t="shared" si="10"/>
        <v/>
      </c>
      <c r="HR88" s="4" t="str">
        <f t="shared" si="11"/>
        <v/>
      </c>
      <c r="HS88" s="4" t="str">
        <f t="shared" si="12"/>
        <v/>
      </c>
      <c r="HT88" s="4" t="str">
        <f t="shared" si="13"/>
        <v/>
      </c>
      <c r="HU88" s="4" t="str">
        <f t="shared" si="14"/>
        <v/>
      </c>
      <c r="HV88" s="4" t="str">
        <f t="shared" si="15"/>
        <v/>
      </c>
      <c r="HW88" s="4" t="str">
        <f t="shared" si="16"/>
        <v/>
      </c>
      <c r="HX88" s="4" t="str">
        <f t="shared" si="17"/>
        <v/>
      </c>
      <c r="HY88" s="4" t="str">
        <f t="shared" si="18"/>
        <v/>
      </c>
      <c r="HZ88" s="4" t="str">
        <f t="shared" si="19"/>
        <v/>
      </c>
      <c r="IA88" s="4" t="str">
        <f t="shared" si="20"/>
        <v/>
      </c>
      <c r="IB88" s="4" t="str">
        <f t="shared" si="21"/>
        <v/>
      </c>
      <c r="IC88" s="4" t="str">
        <f t="shared" si="22"/>
        <v/>
      </c>
      <c r="ID88" s="4" t="str">
        <f t="shared" si="23"/>
        <v/>
      </c>
      <c r="IE88" s="4" t="str">
        <f t="shared" si="24"/>
        <v/>
      </c>
      <c r="IF88" s="4" t="str">
        <f t="shared" si="25"/>
        <v/>
      </c>
      <c r="IG88" s="4" t="str">
        <f t="shared" si="26"/>
        <v/>
      </c>
      <c r="IH88" s="4" t="str">
        <f t="shared" si="27"/>
        <v/>
      </c>
      <c r="II88" s="4" t="str">
        <f t="shared" si="28"/>
        <v/>
      </c>
      <c r="IJ88" s="4" t="str">
        <f t="shared" si="29"/>
        <v/>
      </c>
      <c r="IK88" s="4" t="str">
        <f t="shared" si="30"/>
        <v/>
      </c>
      <c r="IL88" s="4" t="str">
        <f t="shared" si="31"/>
        <v/>
      </c>
      <c r="IM88" s="4" t="str">
        <f t="shared" si="32"/>
        <v/>
      </c>
      <c r="IN88" s="4" t="str">
        <f t="shared" si="33"/>
        <v/>
      </c>
      <c r="IO88" s="4" t="str">
        <f t="shared" si="34"/>
        <v/>
      </c>
      <c r="IP88" s="4" t="str">
        <f t="shared" si="35"/>
        <v/>
      </c>
      <c r="IQ88" s="4" t="str">
        <f t="shared" si="36"/>
        <v/>
      </c>
      <c r="IR88" s="4" t="str">
        <f t="shared" si="37"/>
        <v/>
      </c>
      <c r="IS88" s="4" t="str">
        <f t="shared" si="38"/>
        <v/>
      </c>
      <c r="IT88" s="4" t="str">
        <f t="shared" si="39"/>
        <v/>
      </c>
      <c r="IU88" s="4" t="str">
        <f t="shared" si="40"/>
        <v/>
      </c>
      <c r="IV88" s="4" t="str">
        <f t="shared" si="41"/>
        <v/>
      </c>
      <c r="IW88" s="4" t="str">
        <f t="shared" si="42"/>
        <v/>
      </c>
      <c r="IX88" s="4" t="str">
        <f t="shared" si="43"/>
        <v/>
      </c>
      <c r="IY88" s="4" t="str">
        <f t="shared" si="44"/>
        <v/>
      </c>
      <c r="IZ88" s="4" t="str">
        <f t="shared" si="45"/>
        <v/>
      </c>
      <c r="JA88" s="4" t="str">
        <f t="shared" ref="JA88:JB88" si="304">if(ISERROR(SEARCH("Higher Education",BB88)),"","810")</f>
        <v/>
      </c>
      <c r="JB88" s="4" t="str">
        <f t="shared" si="304"/>
        <v/>
      </c>
      <c r="JC88" s="4" t="str">
        <f t="shared" si="47"/>
        <v/>
      </c>
      <c r="JD88" s="4" t="str">
        <f t="shared" si="48"/>
        <v/>
      </c>
      <c r="JE88" s="4" t="str">
        <f t="shared" si="49"/>
        <v/>
      </c>
      <c r="JF88" s="4" t="str">
        <f t="shared" si="50"/>
        <v/>
      </c>
      <c r="JG88" s="4" t="str">
        <f t="shared" si="51"/>
        <v/>
      </c>
      <c r="JH88" s="4" t="str">
        <f t="shared" si="52"/>
        <v/>
      </c>
      <c r="JI88" s="4" t="str">
        <f t="shared" si="53"/>
        <v/>
      </c>
      <c r="JJ88" s="4" t="str">
        <f t="shared" si="54"/>
        <v/>
      </c>
      <c r="JK88" s="4" t="str">
        <f t="shared" si="55"/>
        <v/>
      </c>
      <c r="JL88" s="4" t="str">
        <f t="shared" si="56"/>
        <v/>
      </c>
      <c r="JM88" s="4" t="str">
        <f t="shared" si="57"/>
        <v/>
      </c>
      <c r="JN88" s="4" t="str">
        <f t="shared" si="58"/>
        <v/>
      </c>
      <c r="JO88" s="4" t="str">
        <f t="shared" si="59"/>
        <v/>
      </c>
      <c r="JP88" s="4" t="str">
        <f t="shared" si="60"/>
        <v/>
      </c>
      <c r="JQ88" s="4" t="str">
        <f t="shared" si="61"/>
        <v/>
      </c>
      <c r="JR88" s="4" t="str">
        <f t="shared" si="62"/>
        <v/>
      </c>
      <c r="JS88" s="4" t="str">
        <f t="shared" si="63"/>
        <v/>
      </c>
      <c r="JT88" s="4" t="str">
        <f t="shared" si="64"/>
        <v/>
      </c>
      <c r="JU88" s="4" t="str">
        <f t="shared" si="65"/>
        <v/>
      </c>
      <c r="JV88" s="4" t="str">
        <f t="shared" si="66"/>
        <v/>
      </c>
      <c r="JW88" s="4" t="str">
        <f t="shared" si="67"/>
        <v/>
      </c>
      <c r="JX88" s="4" t="str">
        <f t="shared" si="68"/>
        <v/>
      </c>
      <c r="JY88" s="4" t="str">
        <f t="shared" si="69"/>
        <v/>
      </c>
      <c r="JZ88" s="4" t="str">
        <f t="shared" si="70"/>
        <v/>
      </c>
      <c r="KA88" s="4" t="str">
        <f t="shared" si="71"/>
        <v/>
      </c>
      <c r="KB88" s="4" t="str">
        <f t="shared" si="72"/>
        <v/>
      </c>
      <c r="KC88" s="4" t="str">
        <f t="shared" si="73"/>
        <v/>
      </c>
      <c r="KD88" s="4" t="str">
        <f t="shared" si="74"/>
        <v/>
      </c>
      <c r="KE88" s="4" t="str">
        <f t="shared" si="75"/>
        <v/>
      </c>
      <c r="KF88" s="4" t="str">
        <f t="shared" si="76"/>
        <v/>
      </c>
      <c r="KG88" s="4" t="str">
        <f t="shared" si="77"/>
        <v/>
      </c>
      <c r="KH88" s="4" t="str">
        <f t="shared" si="78"/>
        <v/>
      </c>
      <c r="KI88" s="4" t="str">
        <f t="shared" si="79"/>
        <v/>
      </c>
      <c r="KJ88" s="4" t="str">
        <f t="shared" si="80"/>
        <v/>
      </c>
      <c r="KK88" s="4" t="str">
        <f t="shared" si="81"/>
        <v/>
      </c>
      <c r="KL88" s="4" t="str">
        <f t="shared" si="82"/>
        <v/>
      </c>
      <c r="KM88" s="4" t="str">
        <f t="shared" si="83"/>
        <v/>
      </c>
      <c r="KN88" s="4" t="str">
        <f t="shared" si="84"/>
        <v/>
      </c>
      <c r="KO88" s="4" t="str">
        <f t="shared" si="85"/>
        <v/>
      </c>
      <c r="KP88" s="4" t="str">
        <f t="shared" si="86"/>
        <v/>
      </c>
      <c r="KQ88" s="4" t="str">
        <f t="shared" si="87"/>
        <v/>
      </c>
      <c r="KR88" s="4" t="str">
        <f t="shared" si="88"/>
        <v/>
      </c>
      <c r="KS88" s="4" t="str">
        <f t="shared" si="89"/>
        <v/>
      </c>
      <c r="KT88" s="4" t="str">
        <f t="shared" si="90"/>
        <v/>
      </c>
      <c r="KU88" s="4" t="str">
        <f t="shared" si="91"/>
        <v/>
      </c>
      <c r="KV88" s="4" t="str">
        <f t="shared" si="92"/>
        <v/>
      </c>
      <c r="KW88" s="4" t="str">
        <f t="shared" si="93"/>
        <v/>
      </c>
      <c r="KX88" s="4" t="str">
        <f t="shared" si="94"/>
        <v/>
      </c>
      <c r="KY88" s="4" t="str">
        <f t="shared" si="95"/>
        <v/>
      </c>
      <c r="KZ88" s="4" t="str">
        <f t="shared" si="96"/>
        <v/>
      </c>
      <c r="LA88" s="4" t="str">
        <f t="shared" si="97"/>
        <v/>
      </c>
      <c r="LB88" s="4" t="str">
        <f t="shared" si="98"/>
        <v/>
      </c>
      <c r="LC88" s="4" t="str">
        <f t="shared" si="99"/>
        <v/>
      </c>
      <c r="LD88" s="4" t="str">
        <f t="shared" si="100"/>
        <v/>
      </c>
      <c r="LE88" s="4" t="str">
        <f t="shared" si="101"/>
        <v/>
      </c>
      <c r="LF88" s="4" t="str">
        <f t="shared" si="102"/>
        <v/>
      </c>
      <c r="LG88" s="4" t="str">
        <f t="shared" si="103"/>
        <v/>
      </c>
      <c r="LH88" s="4" t="str">
        <f t="shared" si="104"/>
        <v/>
      </c>
      <c r="LI88" s="4" t="str">
        <f t="shared" si="105"/>
        <v/>
      </c>
      <c r="LJ88" s="4" t="str">
        <f t="shared" si="106"/>
        <v/>
      </c>
      <c r="LK88" s="4" t="str">
        <f t="shared" si="107"/>
        <v/>
      </c>
      <c r="LL88" s="4" t="str">
        <f t="shared" si="108"/>
        <v/>
      </c>
      <c r="LM88" s="4" t="str">
        <f t="shared" si="109"/>
        <v/>
      </c>
      <c r="LN88" s="4" t="str">
        <f t="shared" si="110"/>
        <v/>
      </c>
      <c r="LO88" s="4" t="str">
        <f t="shared" si="111"/>
        <v/>
      </c>
      <c r="LP88" s="4" t="str">
        <f t="shared" si="112"/>
        <v/>
      </c>
      <c r="LQ88" s="4" t="str">
        <f t="shared" si="113"/>
        <v/>
      </c>
      <c r="LR88" s="4" t="str">
        <f t="shared" si="114"/>
        <v/>
      </c>
      <c r="LS88" s="4" t="str">
        <f t="shared" si="115"/>
        <v/>
      </c>
      <c r="LT88" s="4" t="str">
        <f t="shared" si="116"/>
        <v/>
      </c>
      <c r="LU88" s="4" t="str">
        <f t="shared" si="117"/>
        <v/>
      </c>
      <c r="LV88" s="4" t="str">
        <f t="shared" si="118"/>
        <v/>
      </c>
      <c r="LW88" s="4" t="str">
        <f t="shared" si="119"/>
        <v/>
      </c>
      <c r="LX88" s="4" t="str">
        <f t="shared" si="120"/>
        <v/>
      </c>
      <c r="LY88" s="4" t="str">
        <f t="shared" si="121"/>
        <v/>
      </c>
      <c r="LZ88" s="4" t="str">
        <f t="shared" si="122"/>
        <v/>
      </c>
      <c r="MA88" s="4" t="str">
        <f t="shared" si="123"/>
        <v/>
      </c>
      <c r="MB88" s="4" t="str">
        <f t="shared" si="124"/>
        <v/>
      </c>
      <c r="MC88" s="4" t="str">
        <f t="shared" si="125"/>
        <v/>
      </c>
      <c r="MD88" s="4" t="str">
        <f t="shared" si="126"/>
        <v/>
      </c>
      <c r="ME88" s="4" t="str">
        <f t="shared" si="127"/>
        <v/>
      </c>
      <c r="MF88" s="4" t="str">
        <f t="shared" si="128"/>
        <v/>
      </c>
      <c r="MG88" s="4" t="str">
        <f t="shared" si="129"/>
        <v/>
      </c>
      <c r="MH88" s="4" t="str">
        <f t="shared" si="130"/>
        <v/>
      </c>
      <c r="MI88" s="4" t="str">
        <f t="shared" si="131"/>
        <v/>
      </c>
      <c r="MJ88" s="4" t="str">
        <f t="shared" si="132"/>
        <v/>
      </c>
      <c r="MK88" s="4" t="str">
        <f t="shared" si="133"/>
        <v/>
      </c>
      <c r="ML88" s="4" t="str">
        <f t="shared" si="134"/>
        <v/>
      </c>
      <c r="MM88" s="4" t="str">
        <f t="shared" si="135"/>
        <v/>
      </c>
      <c r="MN88" s="4" t="str">
        <f t="shared" si="136"/>
        <v/>
      </c>
      <c r="MO88" s="4" t="str">
        <f t="shared" si="137"/>
        <v/>
      </c>
      <c r="MP88" s="4" t="str">
        <f t="shared" si="138"/>
        <v/>
      </c>
      <c r="MQ88" s="4" t="str">
        <f t="shared" si="139"/>
        <v/>
      </c>
      <c r="MR88" s="4" t="str">
        <f t="shared" si="140"/>
        <v/>
      </c>
      <c r="MS88" s="4" t="str">
        <f t="shared" si="141"/>
        <v/>
      </c>
      <c r="MT88" s="4" t="str">
        <f t="shared" si="142"/>
        <v/>
      </c>
      <c r="MU88" s="4" t="str">
        <f t="shared" si="143"/>
        <v/>
      </c>
      <c r="MV88" s="4" t="str">
        <f t="shared" si="144"/>
        <v/>
      </c>
      <c r="MW88" s="4" t="str">
        <f t="shared" si="145"/>
        <v/>
      </c>
      <c r="MX88" s="4" t="str">
        <f t="shared" si="146"/>
        <v/>
      </c>
      <c r="MY88" s="4" t="str">
        <f t="shared" si="147"/>
        <v/>
      </c>
      <c r="MZ88" s="4" t="str">
        <f t="shared" si="148"/>
        <v/>
      </c>
      <c r="NA88" s="4" t="str">
        <f t="shared" si="149"/>
        <v/>
      </c>
      <c r="NB88" s="4" t="str">
        <f t="shared" si="150"/>
        <v/>
      </c>
      <c r="NC88" s="4" t="str">
        <f t="shared" si="151"/>
        <v/>
      </c>
      <c r="ND88" s="4" t="str">
        <f t="shared" si="152"/>
        <v/>
      </c>
      <c r="NE88" s="4" t="str">
        <f t="shared" si="153"/>
        <v/>
      </c>
      <c r="NF88" s="4" t="str">
        <f t="shared" si="154"/>
        <v/>
      </c>
      <c r="NG88" s="4" t="str">
        <f t="shared" si="155"/>
        <v/>
      </c>
      <c r="NH88" s="4" t="str">
        <f t="shared" si="156"/>
        <v/>
      </c>
      <c r="NI88" s="4" t="str">
        <f t="shared" si="157"/>
        <v/>
      </c>
      <c r="NJ88" s="4" t="str">
        <f t="shared" si="158"/>
        <v/>
      </c>
      <c r="NK88" s="4" t="str">
        <f t="shared" si="159"/>
        <v/>
      </c>
      <c r="NL88" s="4" t="str">
        <f t="shared" si="160"/>
        <v/>
      </c>
      <c r="NM88" s="4" t="str">
        <f t="shared" si="161"/>
        <v/>
      </c>
      <c r="NN88" s="4" t="str">
        <f t="shared" si="162"/>
        <v/>
      </c>
      <c r="NO88" s="4" t="str">
        <f t="shared" si="163"/>
        <v/>
      </c>
      <c r="NP88" s="4" t="str">
        <f t="shared" si="164"/>
        <v/>
      </c>
      <c r="NQ88" s="4" t="str">
        <f t="shared" si="165"/>
        <v/>
      </c>
      <c r="NR88" s="4" t="str">
        <f t="shared" si="166"/>
        <v/>
      </c>
      <c r="NS88" s="4" t="str">
        <f t="shared" si="167"/>
        <v/>
      </c>
      <c r="NT88" s="4" t="str">
        <f t="shared" si="168"/>
        <v/>
      </c>
      <c r="NU88" s="4" t="str">
        <f t="shared" si="169"/>
        <v/>
      </c>
      <c r="NV88" s="4" t="str">
        <f t="shared" si="170"/>
        <v/>
      </c>
      <c r="NW88" s="4" t="str">
        <f t="shared" si="171"/>
        <v/>
      </c>
      <c r="NX88" s="4" t="str">
        <f t="shared" si="172"/>
        <v/>
      </c>
      <c r="NY88" s="4" t="str">
        <f t="shared" si="173"/>
        <v/>
      </c>
      <c r="NZ88" s="4" t="str">
        <f t="shared" si="174"/>
        <v/>
      </c>
      <c r="OA88" s="4" t="str">
        <f t="shared" si="175"/>
        <v/>
      </c>
      <c r="OB88" s="4" t="str">
        <f t="shared" si="176"/>
        <v/>
      </c>
      <c r="OC88" s="4" t="str">
        <f t="shared" si="177"/>
        <v/>
      </c>
      <c r="OD88" s="4" t="str">
        <f t="shared" si="178"/>
        <v/>
      </c>
      <c r="OE88" s="4" t="str">
        <f t="shared" si="179"/>
        <v/>
      </c>
      <c r="OF88" s="4" t="str">
        <f t="shared" si="180"/>
        <v/>
      </c>
      <c r="OG88" s="4" t="str">
        <f t="shared" si="181"/>
        <v/>
      </c>
      <c r="OH88" s="4" t="str">
        <f t="shared" si="182"/>
        <v/>
      </c>
      <c r="OI88" s="4" t="str">
        <f t="shared" si="183"/>
        <v/>
      </c>
      <c r="OJ88" s="4" t="str">
        <f t="shared" si="184"/>
        <v/>
      </c>
      <c r="OK88" s="4" t="str">
        <f t="shared" si="185"/>
        <v/>
      </c>
      <c r="OL88" s="4" t="str">
        <f t="shared" si="186"/>
        <v/>
      </c>
      <c r="OM88" s="4" t="str">
        <f t="shared" si="187"/>
        <v/>
      </c>
      <c r="ON88" s="4" t="str">
        <f t="shared" si="188"/>
        <v/>
      </c>
      <c r="OO88" s="4" t="str">
        <f t="shared" si="189"/>
        <v/>
      </c>
      <c r="OP88" s="4" t="str">
        <f t="shared" si="190"/>
        <v/>
      </c>
      <c r="OQ88" s="4" t="str">
        <f t="shared" si="191"/>
        <v/>
      </c>
      <c r="OR88" s="4" t="str">
        <f t="shared" si="192"/>
        <v/>
      </c>
      <c r="OS88" s="4" t="str">
        <f t="shared" si="193"/>
        <v/>
      </c>
      <c r="OT88" s="4" t="str">
        <f t="shared" si="194"/>
        <v/>
      </c>
      <c r="OU88" s="4" t="str">
        <f t="shared" si="195"/>
        <v/>
      </c>
      <c r="OV88" s="4" t="str">
        <f t="shared" si="196"/>
        <v/>
      </c>
      <c r="OW88" s="4" t="str">
        <f t="shared" si="197"/>
        <v/>
      </c>
      <c r="OX88" s="4" t="str">
        <f t="shared" si="198"/>
        <v/>
      </c>
      <c r="OY88" s="4" t="str">
        <f t="shared" si="199"/>
        <v/>
      </c>
      <c r="OZ88" s="4" t="str">
        <f t="shared" si="200"/>
        <v/>
      </c>
      <c r="PA88" s="4" t="str">
        <f t="shared" si="201"/>
        <v/>
      </c>
      <c r="PB88" s="4" t="str">
        <f t="shared" si="202"/>
        <v/>
      </c>
      <c r="PC88" s="4" t="str">
        <f t="shared" si="203"/>
        <v/>
      </c>
      <c r="PD88" s="4" t="str">
        <f t="shared" si="204"/>
        <v/>
      </c>
      <c r="PE88" s="4" t="str">
        <f t="shared" si="205"/>
        <v/>
      </c>
      <c r="PF88" s="4" t="str">
        <f t="shared" si="206"/>
        <v/>
      </c>
      <c r="PG88" s="4" t="str">
        <f t="shared" si="207"/>
        <v/>
      </c>
      <c r="PH88" s="4" t="str">
        <f t="shared" si="208"/>
        <v/>
      </c>
      <c r="PI88" s="4" t="str">
        <f t="shared" si="209"/>
        <v/>
      </c>
      <c r="PJ88" s="4" t="str">
        <f t="shared" si="210"/>
        <v/>
      </c>
      <c r="PK88" s="4" t="str">
        <f t="shared" si="211"/>
        <v/>
      </c>
      <c r="PL88" s="4" t="str">
        <f t="shared" si="212"/>
        <v/>
      </c>
      <c r="PM88" s="4" t="str">
        <f t="shared" si="213"/>
        <v/>
      </c>
      <c r="PN88" s="4" t="str">
        <f t="shared" si="214"/>
        <v/>
      </c>
      <c r="PO88" s="4" t="str">
        <f t="shared" si="215"/>
        <v/>
      </c>
      <c r="PP88" s="4" t="str">
        <f t="shared" si="216"/>
        <v/>
      </c>
      <c r="PQ88" s="4" t="str">
        <f t="shared" si="217"/>
        <v/>
      </c>
      <c r="PR88" s="4" t="str">
        <f t="shared" si="218"/>
        <v/>
      </c>
      <c r="PS88" s="4" t="str">
        <f t="shared" si="219"/>
        <v/>
      </c>
    </row>
    <row r="89">
      <c r="HI89" s="4" t="str">
        <f t="shared" si="2"/>
        <v/>
      </c>
      <c r="HJ89" s="4" t="str">
        <f t="shared" si="3"/>
        <v/>
      </c>
      <c r="HK89" s="4" t="str">
        <f t="shared" si="4"/>
        <v/>
      </c>
      <c r="HL89" s="4" t="str">
        <f t="shared" si="5"/>
        <v/>
      </c>
      <c r="HM89" s="4" t="str">
        <f t="shared" si="6"/>
        <v/>
      </c>
      <c r="HN89" s="4" t="str">
        <f t="shared" si="7"/>
        <v/>
      </c>
      <c r="HO89" s="4" t="str">
        <f t="shared" si="8"/>
        <v/>
      </c>
      <c r="HP89" s="4" t="str">
        <f t="shared" si="9"/>
        <v/>
      </c>
      <c r="HQ89" s="4" t="str">
        <f t="shared" si="10"/>
        <v/>
      </c>
      <c r="HR89" s="4" t="str">
        <f t="shared" si="11"/>
        <v/>
      </c>
      <c r="HS89" s="4" t="str">
        <f t="shared" si="12"/>
        <v/>
      </c>
      <c r="HT89" s="4" t="str">
        <f t="shared" si="13"/>
        <v/>
      </c>
      <c r="HU89" s="4" t="str">
        <f t="shared" si="14"/>
        <v/>
      </c>
      <c r="HV89" s="4" t="str">
        <f t="shared" si="15"/>
        <v/>
      </c>
      <c r="HW89" s="4" t="str">
        <f t="shared" si="16"/>
        <v/>
      </c>
      <c r="HX89" s="4" t="str">
        <f t="shared" si="17"/>
        <v/>
      </c>
      <c r="HY89" s="4" t="str">
        <f t="shared" si="18"/>
        <v/>
      </c>
      <c r="HZ89" s="4" t="str">
        <f t="shared" si="19"/>
        <v/>
      </c>
      <c r="IA89" s="4" t="str">
        <f t="shared" si="20"/>
        <v/>
      </c>
      <c r="IB89" s="4" t="str">
        <f t="shared" si="21"/>
        <v/>
      </c>
      <c r="IC89" s="4" t="str">
        <f t="shared" si="22"/>
        <v/>
      </c>
      <c r="ID89" s="4" t="str">
        <f t="shared" si="23"/>
        <v/>
      </c>
      <c r="IE89" s="4" t="str">
        <f t="shared" si="24"/>
        <v/>
      </c>
      <c r="IF89" s="4" t="str">
        <f t="shared" si="25"/>
        <v/>
      </c>
      <c r="IG89" s="4" t="str">
        <f t="shared" si="26"/>
        <v/>
      </c>
      <c r="IH89" s="4" t="str">
        <f t="shared" si="27"/>
        <v/>
      </c>
      <c r="II89" s="4" t="str">
        <f t="shared" si="28"/>
        <v/>
      </c>
      <c r="IJ89" s="4" t="str">
        <f t="shared" si="29"/>
        <v/>
      </c>
      <c r="IK89" s="4" t="str">
        <f t="shared" si="30"/>
        <v/>
      </c>
      <c r="IL89" s="4" t="str">
        <f t="shared" si="31"/>
        <v/>
      </c>
      <c r="IM89" s="4" t="str">
        <f t="shared" si="32"/>
        <v/>
      </c>
      <c r="IN89" s="4" t="str">
        <f t="shared" si="33"/>
        <v/>
      </c>
      <c r="IO89" s="4" t="str">
        <f t="shared" si="34"/>
        <v/>
      </c>
      <c r="IP89" s="4" t="str">
        <f t="shared" si="35"/>
        <v/>
      </c>
      <c r="IQ89" s="4" t="str">
        <f t="shared" si="36"/>
        <v/>
      </c>
      <c r="IR89" s="4" t="str">
        <f t="shared" si="37"/>
        <v/>
      </c>
      <c r="IS89" s="4" t="str">
        <f t="shared" si="38"/>
        <v/>
      </c>
      <c r="IT89" s="4" t="str">
        <f t="shared" si="39"/>
        <v/>
      </c>
      <c r="IU89" s="4" t="str">
        <f t="shared" si="40"/>
        <v/>
      </c>
      <c r="IV89" s="4" t="str">
        <f t="shared" si="41"/>
        <v/>
      </c>
      <c r="IW89" s="4" t="str">
        <f t="shared" si="42"/>
        <v/>
      </c>
      <c r="IX89" s="4" t="str">
        <f t="shared" si="43"/>
        <v/>
      </c>
      <c r="IY89" s="4" t="str">
        <f t="shared" si="44"/>
        <v/>
      </c>
      <c r="IZ89" s="4" t="str">
        <f t="shared" si="45"/>
        <v/>
      </c>
      <c r="JA89" s="4" t="str">
        <f t="shared" ref="JA89:JB89" si="305">if(ISERROR(SEARCH("Higher Education",BB89)),"","810")</f>
        <v/>
      </c>
      <c r="JB89" s="4" t="str">
        <f t="shared" si="305"/>
        <v/>
      </c>
      <c r="JC89" s="4" t="str">
        <f t="shared" si="47"/>
        <v/>
      </c>
      <c r="JD89" s="4" t="str">
        <f t="shared" si="48"/>
        <v/>
      </c>
      <c r="JE89" s="4" t="str">
        <f t="shared" si="49"/>
        <v/>
      </c>
      <c r="JF89" s="4" t="str">
        <f t="shared" si="50"/>
        <v/>
      </c>
      <c r="JG89" s="4" t="str">
        <f t="shared" si="51"/>
        <v/>
      </c>
      <c r="JH89" s="4" t="str">
        <f t="shared" si="52"/>
        <v/>
      </c>
      <c r="JI89" s="4" t="str">
        <f t="shared" si="53"/>
        <v/>
      </c>
      <c r="JJ89" s="4" t="str">
        <f t="shared" si="54"/>
        <v/>
      </c>
      <c r="JK89" s="4" t="str">
        <f t="shared" si="55"/>
        <v/>
      </c>
      <c r="JL89" s="4" t="str">
        <f t="shared" si="56"/>
        <v/>
      </c>
      <c r="JM89" s="4" t="str">
        <f t="shared" si="57"/>
        <v/>
      </c>
      <c r="JN89" s="4" t="str">
        <f t="shared" si="58"/>
        <v/>
      </c>
      <c r="JO89" s="4" t="str">
        <f t="shared" si="59"/>
        <v/>
      </c>
      <c r="JP89" s="4" t="str">
        <f t="shared" si="60"/>
        <v/>
      </c>
      <c r="JQ89" s="4" t="str">
        <f t="shared" si="61"/>
        <v/>
      </c>
      <c r="JR89" s="4" t="str">
        <f t="shared" si="62"/>
        <v/>
      </c>
      <c r="JS89" s="4" t="str">
        <f t="shared" si="63"/>
        <v/>
      </c>
      <c r="JT89" s="4" t="str">
        <f t="shared" si="64"/>
        <v/>
      </c>
      <c r="JU89" s="4" t="str">
        <f t="shared" si="65"/>
        <v/>
      </c>
      <c r="JV89" s="4" t="str">
        <f t="shared" si="66"/>
        <v/>
      </c>
      <c r="JW89" s="4" t="str">
        <f t="shared" si="67"/>
        <v/>
      </c>
      <c r="JX89" s="4" t="str">
        <f t="shared" si="68"/>
        <v/>
      </c>
      <c r="JY89" s="4" t="str">
        <f t="shared" si="69"/>
        <v/>
      </c>
      <c r="JZ89" s="4" t="str">
        <f t="shared" si="70"/>
        <v/>
      </c>
      <c r="KA89" s="4" t="str">
        <f t="shared" si="71"/>
        <v/>
      </c>
      <c r="KB89" s="4" t="str">
        <f t="shared" si="72"/>
        <v/>
      </c>
      <c r="KC89" s="4" t="str">
        <f t="shared" si="73"/>
        <v/>
      </c>
      <c r="KD89" s="4" t="str">
        <f t="shared" si="74"/>
        <v/>
      </c>
      <c r="KE89" s="4" t="str">
        <f t="shared" si="75"/>
        <v/>
      </c>
      <c r="KF89" s="4" t="str">
        <f t="shared" si="76"/>
        <v/>
      </c>
      <c r="KG89" s="4" t="str">
        <f t="shared" si="77"/>
        <v/>
      </c>
      <c r="KH89" s="4" t="str">
        <f t="shared" si="78"/>
        <v/>
      </c>
      <c r="KI89" s="4" t="str">
        <f t="shared" si="79"/>
        <v/>
      </c>
      <c r="KJ89" s="4" t="str">
        <f t="shared" si="80"/>
        <v/>
      </c>
      <c r="KK89" s="4" t="str">
        <f t="shared" si="81"/>
        <v/>
      </c>
      <c r="KL89" s="4" t="str">
        <f t="shared" si="82"/>
        <v/>
      </c>
      <c r="KM89" s="4" t="str">
        <f t="shared" si="83"/>
        <v/>
      </c>
      <c r="KN89" s="4" t="str">
        <f t="shared" si="84"/>
        <v/>
      </c>
      <c r="KO89" s="4" t="str">
        <f t="shared" si="85"/>
        <v/>
      </c>
      <c r="KP89" s="4" t="str">
        <f t="shared" si="86"/>
        <v/>
      </c>
      <c r="KQ89" s="4" t="str">
        <f t="shared" si="87"/>
        <v/>
      </c>
      <c r="KR89" s="4" t="str">
        <f t="shared" si="88"/>
        <v/>
      </c>
      <c r="KS89" s="4" t="str">
        <f t="shared" si="89"/>
        <v/>
      </c>
      <c r="KT89" s="4" t="str">
        <f t="shared" si="90"/>
        <v/>
      </c>
      <c r="KU89" s="4" t="str">
        <f t="shared" si="91"/>
        <v/>
      </c>
      <c r="KV89" s="4" t="str">
        <f t="shared" si="92"/>
        <v/>
      </c>
      <c r="KW89" s="4" t="str">
        <f t="shared" si="93"/>
        <v/>
      </c>
      <c r="KX89" s="4" t="str">
        <f t="shared" si="94"/>
        <v/>
      </c>
      <c r="KY89" s="4" t="str">
        <f t="shared" si="95"/>
        <v/>
      </c>
      <c r="KZ89" s="4" t="str">
        <f t="shared" si="96"/>
        <v/>
      </c>
      <c r="LA89" s="4" t="str">
        <f t="shared" si="97"/>
        <v/>
      </c>
      <c r="LB89" s="4" t="str">
        <f t="shared" si="98"/>
        <v/>
      </c>
      <c r="LC89" s="4" t="str">
        <f t="shared" si="99"/>
        <v/>
      </c>
      <c r="LD89" s="4" t="str">
        <f t="shared" si="100"/>
        <v/>
      </c>
      <c r="LE89" s="4" t="str">
        <f t="shared" si="101"/>
        <v/>
      </c>
      <c r="LF89" s="4" t="str">
        <f t="shared" si="102"/>
        <v/>
      </c>
      <c r="LG89" s="4" t="str">
        <f t="shared" si="103"/>
        <v/>
      </c>
      <c r="LH89" s="4" t="str">
        <f t="shared" si="104"/>
        <v/>
      </c>
      <c r="LI89" s="4" t="str">
        <f t="shared" si="105"/>
        <v/>
      </c>
      <c r="LJ89" s="4" t="str">
        <f t="shared" si="106"/>
        <v/>
      </c>
      <c r="LK89" s="4" t="str">
        <f t="shared" si="107"/>
        <v/>
      </c>
      <c r="LL89" s="4" t="str">
        <f t="shared" si="108"/>
        <v/>
      </c>
      <c r="LM89" s="4" t="str">
        <f t="shared" si="109"/>
        <v/>
      </c>
      <c r="LN89" s="4" t="str">
        <f t="shared" si="110"/>
        <v/>
      </c>
      <c r="LO89" s="4" t="str">
        <f t="shared" si="111"/>
        <v/>
      </c>
      <c r="LP89" s="4" t="str">
        <f t="shared" si="112"/>
        <v/>
      </c>
      <c r="LQ89" s="4" t="str">
        <f t="shared" si="113"/>
        <v/>
      </c>
      <c r="LR89" s="4" t="str">
        <f t="shared" si="114"/>
        <v/>
      </c>
      <c r="LS89" s="4" t="str">
        <f t="shared" si="115"/>
        <v/>
      </c>
      <c r="LT89" s="4" t="str">
        <f t="shared" si="116"/>
        <v/>
      </c>
      <c r="LU89" s="4" t="str">
        <f t="shared" si="117"/>
        <v/>
      </c>
      <c r="LV89" s="4" t="str">
        <f t="shared" si="118"/>
        <v/>
      </c>
      <c r="LW89" s="4" t="str">
        <f t="shared" si="119"/>
        <v/>
      </c>
      <c r="LX89" s="4" t="str">
        <f t="shared" si="120"/>
        <v/>
      </c>
      <c r="LY89" s="4" t="str">
        <f t="shared" si="121"/>
        <v/>
      </c>
      <c r="LZ89" s="4" t="str">
        <f t="shared" si="122"/>
        <v/>
      </c>
      <c r="MA89" s="4" t="str">
        <f t="shared" si="123"/>
        <v/>
      </c>
      <c r="MB89" s="4" t="str">
        <f t="shared" si="124"/>
        <v/>
      </c>
      <c r="MC89" s="4" t="str">
        <f t="shared" si="125"/>
        <v/>
      </c>
      <c r="MD89" s="4" t="str">
        <f t="shared" si="126"/>
        <v/>
      </c>
      <c r="ME89" s="4" t="str">
        <f t="shared" si="127"/>
        <v/>
      </c>
      <c r="MF89" s="4" t="str">
        <f t="shared" si="128"/>
        <v/>
      </c>
      <c r="MG89" s="4" t="str">
        <f t="shared" si="129"/>
        <v/>
      </c>
      <c r="MH89" s="4" t="str">
        <f t="shared" si="130"/>
        <v/>
      </c>
      <c r="MI89" s="4" t="str">
        <f t="shared" si="131"/>
        <v/>
      </c>
      <c r="MJ89" s="4" t="str">
        <f t="shared" si="132"/>
        <v/>
      </c>
      <c r="MK89" s="4" t="str">
        <f t="shared" si="133"/>
        <v/>
      </c>
      <c r="ML89" s="4" t="str">
        <f t="shared" si="134"/>
        <v/>
      </c>
      <c r="MM89" s="4" t="str">
        <f t="shared" si="135"/>
        <v/>
      </c>
      <c r="MN89" s="4" t="str">
        <f t="shared" si="136"/>
        <v/>
      </c>
      <c r="MO89" s="4" t="str">
        <f t="shared" si="137"/>
        <v/>
      </c>
      <c r="MP89" s="4" t="str">
        <f t="shared" si="138"/>
        <v/>
      </c>
      <c r="MQ89" s="4" t="str">
        <f t="shared" si="139"/>
        <v/>
      </c>
      <c r="MR89" s="4" t="str">
        <f t="shared" si="140"/>
        <v/>
      </c>
      <c r="MS89" s="4" t="str">
        <f t="shared" si="141"/>
        <v/>
      </c>
      <c r="MT89" s="4" t="str">
        <f t="shared" si="142"/>
        <v/>
      </c>
      <c r="MU89" s="4" t="str">
        <f t="shared" si="143"/>
        <v/>
      </c>
      <c r="MV89" s="4" t="str">
        <f t="shared" si="144"/>
        <v/>
      </c>
      <c r="MW89" s="4" t="str">
        <f t="shared" si="145"/>
        <v/>
      </c>
      <c r="MX89" s="4" t="str">
        <f t="shared" si="146"/>
        <v/>
      </c>
      <c r="MY89" s="4" t="str">
        <f t="shared" si="147"/>
        <v/>
      </c>
      <c r="MZ89" s="4" t="str">
        <f t="shared" si="148"/>
        <v/>
      </c>
      <c r="NA89" s="4" t="str">
        <f t="shared" si="149"/>
        <v/>
      </c>
      <c r="NB89" s="4" t="str">
        <f t="shared" si="150"/>
        <v/>
      </c>
      <c r="NC89" s="4" t="str">
        <f t="shared" si="151"/>
        <v/>
      </c>
      <c r="ND89" s="4" t="str">
        <f t="shared" si="152"/>
        <v/>
      </c>
      <c r="NE89" s="4" t="str">
        <f t="shared" si="153"/>
        <v/>
      </c>
      <c r="NF89" s="4" t="str">
        <f t="shared" si="154"/>
        <v/>
      </c>
      <c r="NG89" s="4" t="str">
        <f t="shared" si="155"/>
        <v/>
      </c>
      <c r="NH89" s="4" t="str">
        <f t="shared" si="156"/>
        <v/>
      </c>
      <c r="NI89" s="4" t="str">
        <f t="shared" si="157"/>
        <v/>
      </c>
      <c r="NJ89" s="4" t="str">
        <f t="shared" si="158"/>
        <v/>
      </c>
      <c r="NK89" s="4" t="str">
        <f t="shared" si="159"/>
        <v/>
      </c>
      <c r="NL89" s="4" t="str">
        <f t="shared" si="160"/>
        <v/>
      </c>
      <c r="NM89" s="4" t="str">
        <f t="shared" si="161"/>
        <v/>
      </c>
      <c r="NN89" s="4" t="str">
        <f t="shared" si="162"/>
        <v/>
      </c>
      <c r="NO89" s="4" t="str">
        <f t="shared" si="163"/>
        <v/>
      </c>
      <c r="NP89" s="4" t="str">
        <f t="shared" si="164"/>
        <v/>
      </c>
      <c r="NQ89" s="4" t="str">
        <f t="shared" si="165"/>
        <v/>
      </c>
      <c r="NR89" s="4" t="str">
        <f t="shared" si="166"/>
        <v/>
      </c>
      <c r="NS89" s="4" t="str">
        <f t="shared" si="167"/>
        <v/>
      </c>
      <c r="NT89" s="4" t="str">
        <f t="shared" si="168"/>
        <v/>
      </c>
      <c r="NU89" s="4" t="str">
        <f t="shared" si="169"/>
        <v/>
      </c>
      <c r="NV89" s="4" t="str">
        <f t="shared" si="170"/>
        <v/>
      </c>
      <c r="NW89" s="4" t="str">
        <f t="shared" si="171"/>
        <v/>
      </c>
      <c r="NX89" s="4" t="str">
        <f t="shared" si="172"/>
        <v/>
      </c>
      <c r="NY89" s="4" t="str">
        <f t="shared" si="173"/>
        <v/>
      </c>
      <c r="NZ89" s="4" t="str">
        <f t="shared" si="174"/>
        <v/>
      </c>
      <c r="OA89" s="4" t="str">
        <f t="shared" si="175"/>
        <v/>
      </c>
      <c r="OB89" s="4" t="str">
        <f t="shared" si="176"/>
        <v/>
      </c>
      <c r="OC89" s="4" t="str">
        <f t="shared" si="177"/>
        <v/>
      </c>
      <c r="OD89" s="4" t="str">
        <f t="shared" si="178"/>
        <v/>
      </c>
      <c r="OE89" s="4" t="str">
        <f t="shared" si="179"/>
        <v/>
      </c>
      <c r="OF89" s="4" t="str">
        <f t="shared" si="180"/>
        <v/>
      </c>
      <c r="OG89" s="4" t="str">
        <f t="shared" si="181"/>
        <v/>
      </c>
      <c r="OH89" s="4" t="str">
        <f t="shared" si="182"/>
        <v/>
      </c>
      <c r="OI89" s="4" t="str">
        <f t="shared" si="183"/>
        <v/>
      </c>
      <c r="OJ89" s="4" t="str">
        <f t="shared" si="184"/>
        <v/>
      </c>
      <c r="OK89" s="4" t="str">
        <f t="shared" si="185"/>
        <v/>
      </c>
      <c r="OL89" s="4" t="str">
        <f t="shared" si="186"/>
        <v/>
      </c>
      <c r="OM89" s="4" t="str">
        <f t="shared" si="187"/>
        <v/>
      </c>
      <c r="ON89" s="4" t="str">
        <f t="shared" si="188"/>
        <v/>
      </c>
      <c r="OO89" s="4" t="str">
        <f t="shared" si="189"/>
        <v/>
      </c>
      <c r="OP89" s="4" t="str">
        <f t="shared" si="190"/>
        <v/>
      </c>
      <c r="OQ89" s="4" t="str">
        <f t="shared" si="191"/>
        <v/>
      </c>
      <c r="OR89" s="4" t="str">
        <f t="shared" si="192"/>
        <v/>
      </c>
      <c r="OS89" s="4" t="str">
        <f t="shared" si="193"/>
        <v/>
      </c>
      <c r="OT89" s="4" t="str">
        <f t="shared" si="194"/>
        <v/>
      </c>
      <c r="OU89" s="4" t="str">
        <f t="shared" si="195"/>
        <v/>
      </c>
      <c r="OV89" s="4" t="str">
        <f t="shared" si="196"/>
        <v/>
      </c>
      <c r="OW89" s="4" t="str">
        <f t="shared" si="197"/>
        <v/>
      </c>
      <c r="OX89" s="4" t="str">
        <f t="shared" si="198"/>
        <v/>
      </c>
      <c r="OY89" s="4" t="str">
        <f t="shared" si="199"/>
        <v/>
      </c>
      <c r="OZ89" s="4" t="str">
        <f t="shared" si="200"/>
        <v/>
      </c>
      <c r="PA89" s="4" t="str">
        <f t="shared" si="201"/>
        <v/>
      </c>
      <c r="PB89" s="4" t="str">
        <f t="shared" si="202"/>
        <v/>
      </c>
      <c r="PC89" s="4" t="str">
        <f t="shared" si="203"/>
        <v/>
      </c>
      <c r="PD89" s="4" t="str">
        <f t="shared" si="204"/>
        <v/>
      </c>
      <c r="PE89" s="4" t="str">
        <f t="shared" si="205"/>
        <v/>
      </c>
      <c r="PF89" s="4" t="str">
        <f t="shared" si="206"/>
        <v/>
      </c>
      <c r="PG89" s="4" t="str">
        <f t="shared" si="207"/>
        <v/>
      </c>
      <c r="PH89" s="4" t="str">
        <f t="shared" si="208"/>
        <v/>
      </c>
      <c r="PI89" s="4" t="str">
        <f t="shared" si="209"/>
        <v/>
      </c>
      <c r="PJ89" s="4" t="str">
        <f t="shared" si="210"/>
        <v/>
      </c>
      <c r="PK89" s="4" t="str">
        <f t="shared" si="211"/>
        <v/>
      </c>
      <c r="PL89" s="4" t="str">
        <f t="shared" si="212"/>
        <v/>
      </c>
      <c r="PM89" s="4" t="str">
        <f t="shared" si="213"/>
        <v/>
      </c>
      <c r="PN89" s="4" t="str">
        <f t="shared" si="214"/>
        <v/>
      </c>
      <c r="PO89" s="4" t="str">
        <f t="shared" si="215"/>
        <v/>
      </c>
      <c r="PP89" s="4" t="str">
        <f t="shared" si="216"/>
        <v/>
      </c>
      <c r="PQ89" s="4" t="str">
        <f t="shared" si="217"/>
        <v/>
      </c>
      <c r="PR89" s="4" t="str">
        <f t="shared" si="218"/>
        <v/>
      </c>
      <c r="PS89" s="4" t="str">
        <f t="shared" si="219"/>
        <v/>
      </c>
    </row>
    <row r="90">
      <c r="HI90" s="4" t="str">
        <f t="shared" si="2"/>
        <v/>
      </c>
      <c r="HJ90" s="4" t="str">
        <f t="shared" si="3"/>
        <v/>
      </c>
      <c r="HK90" s="4" t="str">
        <f t="shared" si="4"/>
        <v/>
      </c>
      <c r="HL90" s="4" t="str">
        <f t="shared" si="5"/>
        <v/>
      </c>
      <c r="HM90" s="4" t="str">
        <f t="shared" si="6"/>
        <v/>
      </c>
      <c r="HN90" s="4" t="str">
        <f t="shared" si="7"/>
        <v/>
      </c>
      <c r="HO90" s="4" t="str">
        <f t="shared" si="8"/>
        <v/>
      </c>
      <c r="HP90" s="4" t="str">
        <f t="shared" si="9"/>
        <v/>
      </c>
      <c r="HQ90" s="4" t="str">
        <f t="shared" si="10"/>
        <v/>
      </c>
      <c r="HR90" s="4" t="str">
        <f t="shared" si="11"/>
        <v/>
      </c>
      <c r="HS90" s="4" t="str">
        <f t="shared" si="12"/>
        <v/>
      </c>
      <c r="HT90" s="4" t="str">
        <f t="shared" si="13"/>
        <v/>
      </c>
      <c r="HU90" s="4" t="str">
        <f t="shared" si="14"/>
        <v/>
      </c>
      <c r="HV90" s="4" t="str">
        <f t="shared" si="15"/>
        <v/>
      </c>
      <c r="HW90" s="4" t="str">
        <f t="shared" si="16"/>
        <v/>
      </c>
      <c r="HX90" s="4" t="str">
        <f t="shared" si="17"/>
        <v/>
      </c>
      <c r="HY90" s="4" t="str">
        <f t="shared" si="18"/>
        <v/>
      </c>
      <c r="HZ90" s="4" t="str">
        <f t="shared" si="19"/>
        <v/>
      </c>
      <c r="IA90" s="4" t="str">
        <f t="shared" si="20"/>
        <v/>
      </c>
      <c r="IB90" s="4" t="str">
        <f t="shared" si="21"/>
        <v/>
      </c>
      <c r="IC90" s="4" t="str">
        <f t="shared" si="22"/>
        <v/>
      </c>
      <c r="ID90" s="4" t="str">
        <f t="shared" si="23"/>
        <v/>
      </c>
      <c r="IE90" s="4" t="str">
        <f t="shared" si="24"/>
        <v/>
      </c>
      <c r="IF90" s="4" t="str">
        <f t="shared" si="25"/>
        <v/>
      </c>
      <c r="IG90" s="4" t="str">
        <f t="shared" si="26"/>
        <v/>
      </c>
      <c r="IH90" s="4" t="str">
        <f t="shared" si="27"/>
        <v/>
      </c>
      <c r="II90" s="4" t="str">
        <f t="shared" si="28"/>
        <v/>
      </c>
      <c r="IJ90" s="4" t="str">
        <f t="shared" si="29"/>
        <v/>
      </c>
      <c r="IK90" s="4" t="str">
        <f t="shared" si="30"/>
        <v/>
      </c>
      <c r="IL90" s="4" t="str">
        <f t="shared" si="31"/>
        <v/>
      </c>
      <c r="IM90" s="4" t="str">
        <f t="shared" si="32"/>
        <v/>
      </c>
      <c r="IN90" s="4" t="str">
        <f t="shared" si="33"/>
        <v/>
      </c>
      <c r="IO90" s="4" t="str">
        <f t="shared" si="34"/>
        <v/>
      </c>
      <c r="IP90" s="4" t="str">
        <f t="shared" si="35"/>
        <v/>
      </c>
      <c r="IQ90" s="4" t="str">
        <f t="shared" si="36"/>
        <v/>
      </c>
      <c r="IR90" s="4" t="str">
        <f t="shared" si="37"/>
        <v/>
      </c>
      <c r="IS90" s="4" t="str">
        <f t="shared" si="38"/>
        <v/>
      </c>
      <c r="IT90" s="4" t="str">
        <f t="shared" si="39"/>
        <v/>
      </c>
      <c r="IU90" s="4" t="str">
        <f t="shared" si="40"/>
        <v/>
      </c>
      <c r="IV90" s="4" t="str">
        <f t="shared" si="41"/>
        <v/>
      </c>
      <c r="IW90" s="4" t="str">
        <f t="shared" si="42"/>
        <v/>
      </c>
      <c r="IX90" s="4" t="str">
        <f t="shared" si="43"/>
        <v/>
      </c>
      <c r="IY90" s="4" t="str">
        <f t="shared" si="44"/>
        <v/>
      </c>
      <c r="IZ90" s="4" t="str">
        <f t="shared" si="45"/>
        <v/>
      </c>
      <c r="JA90" s="4" t="str">
        <f t="shared" ref="JA90:JB90" si="306">if(ISERROR(SEARCH("Higher Education",BB90)),"","810")</f>
        <v/>
      </c>
      <c r="JB90" s="4" t="str">
        <f t="shared" si="306"/>
        <v/>
      </c>
      <c r="JC90" s="4" t="str">
        <f t="shared" si="47"/>
        <v/>
      </c>
      <c r="JD90" s="4" t="str">
        <f t="shared" si="48"/>
        <v/>
      </c>
      <c r="JE90" s="4" t="str">
        <f t="shared" si="49"/>
        <v/>
      </c>
      <c r="JF90" s="4" t="str">
        <f t="shared" si="50"/>
        <v/>
      </c>
      <c r="JG90" s="4" t="str">
        <f t="shared" si="51"/>
        <v/>
      </c>
      <c r="JH90" s="4" t="str">
        <f t="shared" si="52"/>
        <v/>
      </c>
      <c r="JI90" s="4" t="str">
        <f t="shared" si="53"/>
        <v/>
      </c>
      <c r="JJ90" s="4" t="str">
        <f t="shared" si="54"/>
        <v/>
      </c>
      <c r="JK90" s="4" t="str">
        <f t="shared" si="55"/>
        <v/>
      </c>
      <c r="JL90" s="4" t="str">
        <f t="shared" si="56"/>
        <v/>
      </c>
      <c r="JM90" s="4" t="str">
        <f t="shared" si="57"/>
        <v/>
      </c>
      <c r="JN90" s="4" t="str">
        <f t="shared" si="58"/>
        <v/>
      </c>
      <c r="JO90" s="4" t="str">
        <f t="shared" si="59"/>
        <v/>
      </c>
      <c r="JP90" s="4" t="str">
        <f t="shared" si="60"/>
        <v/>
      </c>
      <c r="JQ90" s="4" t="str">
        <f t="shared" si="61"/>
        <v/>
      </c>
      <c r="JR90" s="4" t="str">
        <f t="shared" si="62"/>
        <v/>
      </c>
      <c r="JS90" s="4" t="str">
        <f t="shared" si="63"/>
        <v/>
      </c>
      <c r="JT90" s="4" t="str">
        <f t="shared" si="64"/>
        <v/>
      </c>
      <c r="JU90" s="4" t="str">
        <f t="shared" si="65"/>
        <v/>
      </c>
      <c r="JV90" s="4" t="str">
        <f t="shared" si="66"/>
        <v/>
      </c>
      <c r="JW90" s="4" t="str">
        <f t="shared" si="67"/>
        <v/>
      </c>
      <c r="JX90" s="4" t="str">
        <f t="shared" si="68"/>
        <v/>
      </c>
      <c r="JY90" s="4" t="str">
        <f t="shared" si="69"/>
        <v/>
      </c>
      <c r="JZ90" s="4" t="str">
        <f t="shared" si="70"/>
        <v/>
      </c>
      <c r="KA90" s="4" t="str">
        <f t="shared" si="71"/>
        <v/>
      </c>
      <c r="KB90" s="4" t="str">
        <f t="shared" si="72"/>
        <v/>
      </c>
      <c r="KC90" s="4" t="str">
        <f t="shared" si="73"/>
        <v/>
      </c>
      <c r="KD90" s="4" t="str">
        <f t="shared" si="74"/>
        <v/>
      </c>
      <c r="KE90" s="4" t="str">
        <f t="shared" si="75"/>
        <v/>
      </c>
      <c r="KF90" s="4" t="str">
        <f t="shared" si="76"/>
        <v/>
      </c>
      <c r="KG90" s="4" t="str">
        <f t="shared" si="77"/>
        <v/>
      </c>
      <c r="KH90" s="4" t="str">
        <f t="shared" si="78"/>
        <v/>
      </c>
      <c r="KI90" s="4" t="str">
        <f t="shared" si="79"/>
        <v/>
      </c>
      <c r="KJ90" s="4" t="str">
        <f t="shared" si="80"/>
        <v/>
      </c>
      <c r="KK90" s="4" t="str">
        <f t="shared" si="81"/>
        <v/>
      </c>
      <c r="KL90" s="4" t="str">
        <f t="shared" si="82"/>
        <v/>
      </c>
      <c r="KM90" s="4" t="str">
        <f t="shared" si="83"/>
        <v/>
      </c>
      <c r="KN90" s="4" t="str">
        <f t="shared" si="84"/>
        <v/>
      </c>
      <c r="KO90" s="4" t="str">
        <f t="shared" si="85"/>
        <v/>
      </c>
      <c r="KP90" s="4" t="str">
        <f t="shared" si="86"/>
        <v/>
      </c>
      <c r="KQ90" s="4" t="str">
        <f t="shared" si="87"/>
        <v/>
      </c>
      <c r="KR90" s="4" t="str">
        <f t="shared" si="88"/>
        <v/>
      </c>
      <c r="KS90" s="4" t="str">
        <f t="shared" si="89"/>
        <v/>
      </c>
      <c r="KT90" s="4" t="str">
        <f t="shared" si="90"/>
        <v/>
      </c>
      <c r="KU90" s="4" t="str">
        <f t="shared" si="91"/>
        <v/>
      </c>
      <c r="KV90" s="4" t="str">
        <f t="shared" si="92"/>
        <v/>
      </c>
      <c r="KW90" s="4" t="str">
        <f t="shared" si="93"/>
        <v/>
      </c>
      <c r="KX90" s="4" t="str">
        <f t="shared" si="94"/>
        <v/>
      </c>
      <c r="KY90" s="4" t="str">
        <f t="shared" si="95"/>
        <v/>
      </c>
      <c r="KZ90" s="4" t="str">
        <f t="shared" si="96"/>
        <v/>
      </c>
      <c r="LA90" s="4" t="str">
        <f t="shared" si="97"/>
        <v/>
      </c>
      <c r="LB90" s="4" t="str">
        <f t="shared" si="98"/>
        <v/>
      </c>
      <c r="LC90" s="4" t="str">
        <f t="shared" si="99"/>
        <v/>
      </c>
      <c r="LD90" s="4" t="str">
        <f t="shared" si="100"/>
        <v/>
      </c>
      <c r="LE90" s="4" t="str">
        <f t="shared" si="101"/>
        <v/>
      </c>
      <c r="LF90" s="4" t="str">
        <f t="shared" si="102"/>
        <v/>
      </c>
      <c r="LG90" s="4" t="str">
        <f t="shared" si="103"/>
        <v/>
      </c>
      <c r="LH90" s="4" t="str">
        <f t="shared" si="104"/>
        <v/>
      </c>
      <c r="LI90" s="4" t="str">
        <f t="shared" si="105"/>
        <v/>
      </c>
      <c r="LJ90" s="4" t="str">
        <f t="shared" si="106"/>
        <v/>
      </c>
      <c r="LK90" s="4" t="str">
        <f t="shared" si="107"/>
        <v/>
      </c>
      <c r="LL90" s="4" t="str">
        <f t="shared" si="108"/>
        <v/>
      </c>
      <c r="LM90" s="4" t="str">
        <f t="shared" si="109"/>
        <v/>
      </c>
      <c r="LN90" s="4" t="str">
        <f t="shared" si="110"/>
        <v/>
      </c>
      <c r="LO90" s="4" t="str">
        <f t="shared" si="111"/>
        <v/>
      </c>
      <c r="LP90" s="4" t="str">
        <f t="shared" si="112"/>
        <v/>
      </c>
      <c r="LQ90" s="4" t="str">
        <f t="shared" si="113"/>
        <v/>
      </c>
      <c r="LR90" s="4" t="str">
        <f t="shared" si="114"/>
        <v/>
      </c>
      <c r="LS90" s="4" t="str">
        <f t="shared" si="115"/>
        <v/>
      </c>
      <c r="LT90" s="4" t="str">
        <f t="shared" si="116"/>
        <v/>
      </c>
      <c r="LU90" s="4" t="str">
        <f t="shared" si="117"/>
        <v/>
      </c>
      <c r="LV90" s="4" t="str">
        <f t="shared" si="118"/>
        <v/>
      </c>
      <c r="LW90" s="4" t="str">
        <f t="shared" si="119"/>
        <v/>
      </c>
      <c r="LX90" s="4" t="str">
        <f t="shared" si="120"/>
        <v/>
      </c>
      <c r="LY90" s="4" t="str">
        <f t="shared" si="121"/>
        <v/>
      </c>
      <c r="LZ90" s="4" t="str">
        <f t="shared" si="122"/>
        <v/>
      </c>
      <c r="MA90" s="4" t="str">
        <f t="shared" si="123"/>
        <v/>
      </c>
      <c r="MB90" s="4" t="str">
        <f t="shared" si="124"/>
        <v/>
      </c>
      <c r="MC90" s="4" t="str">
        <f t="shared" si="125"/>
        <v/>
      </c>
      <c r="MD90" s="4" t="str">
        <f t="shared" si="126"/>
        <v/>
      </c>
      <c r="ME90" s="4" t="str">
        <f t="shared" si="127"/>
        <v/>
      </c>
      <c r="MF90" s="4" t="str">
        <f t="shared" si="128"/>
        <v/>
      </c>
      <c r="MG90" s="4" t="str">
        <f t="shared" si="129"/>
        <v/>
      </c>
      <c r="MH90" s="4" t="str">
        <f t="shared" si="130"/>
        <v/>
      </c>
      <c r="MI90" s="4" t="str">
        <f t="shared" si="131"/>
        <v/>
      </c>
      <c r="MJ90" s="4" t="str">
        <f t="shared" si="132"/>
        <v/>
      </c>
      <c r="MK90" s="4" t="str">
        <f t="shared" si="133"/>
        <v/>
      </c>
      <c r="ML90" s="4" t="str">
        <f t="shared" si="134"/>
        <v/>
      </c>
      <c r="MM90" s="4" t="str">
        <f t="shared" si="135"/>
        <v/>
      </c>
      <c r="MN90" s="4" t="str">
        <f t="shared" si="136"/>
        <v/>
      </c>
      <c r="MO90" s="4" t="str">
        <f t="shared" si="137"/>
        <v/>
      </c>
      <c r="MP90" s="4" t="str">
        <f t="shared" si="138"/>
        <v/>
      </c>
      <c r="MQ90" s="4" t="str">
        <f t="shared" si="139"/>
        <v/>
      </c>
      <c r="MR90" s="4" t="str">
        <f t="shared" si="140"/>
        <v/>
      </c>
      <c r="MS90" s="4" t="str">
        <f t="shared" si="141"/>
        <v/>
      </c>
      <c r="MT90" s="4" t="str">
        <f t="shared" si="142"/>
        <v/>
      </c>
      <c r="MU90" s="4" t="str">
        <f t="shared" si="143"/>
        <v/>
      </c>
      <c r="MV90" s="4" t="str">
        <f t="shared" si="144"/>
        <v/>
      </c>
      <c r="MW90" s="4" t="str">
        <f t="shared" si="145"/>
        <v/>
      </c>
      <c r="MX90" s="4" t="str">
        <f t="shared" si="146"/>
        <v/>
      </c>
      <c r="MY90" s="4" t="str">
        <f t="shared" si="147"/>
        <v/>
      </c>
      <c r="MZ90" s="4" t="str">
        <f t="shared" si="148"/>
        <v/>
      </c>
      <c r="NA90" s="4" t="str">
        <f t="shared" si="149"/>
        <v/>
      </c>
      <c r="NB90" s="4" t="str">
        <f t="shared" si="150"/>
        <v/>
      </c>
      <c r="NC90" s="4" t="str">
        <f t="shared" si="151"/>
        <v/>
      </c>
      <c r="ND90" s="4" t="str">
        <f t="shared" si="152"/>
        <v/>
      </c>
      <c r="NE90" s="4" t="str">
        <f t="shared" si="153"/>
        <v/>
      </c>
      <c r="NF90" s="4" t="str">
        <f t="shared" si="154"/>
        <v/>
      </c>
      <c r="NG90" s="4" t="str">
        <f t="shared" si="155"/>
        <v/>
      </c>
      <c r="NH90" s="4" t="str">
        <f t="shared" si="156"/>
        <v/>
      </c>
      <c r="NI90" s="4" t="str">
        <f t="shared" si="157"/>
        <v/>
      </c>
      <c r="NJ90" s="4" t="str">
        <f t="shared" si="158"/>
        <v/>
      </c>
      <c r="NK90" s="4" t="str">
        <f t="shared" si="159"/>
        <v/>
      </c>
      <c r="NL90" s="4" t="str">
        <f t="shared" si="160"/>
        <v/>
      </c>
      <c r="NM90" s="4" t="str">
        <f t="shared" si="161"/>
        <v/>
      </c>
      <c r="NN90" s="4" t="str">
        <f t="shared" si="162"/>
        <v/>
      </c>
      <c r="NO90" s="4" t="str">
        <f t="shared" si="163"/>
        <v/>
      </c>
      <c r="NP90" s="4" t="str">
        <f t="shared" si="164"/>
        <v/>
      </c>
      <c r="NQ90" s="4" t="str">
        <f t="shared" si="165"/>
        <v/>
      </c>
      <c r="NR90" s="4" t="str">
        <f t="shared" si="166"/>
        <v/>
      </c>
      <c r="NS90" s="4" t="str">
        <f t="shared" si="167"/>
        <v/>
      </c>
      <c r="NT90" s="4" t="str">
        <f t="shared" si="168"/>
        <v/>
      </c>
      <c r="NU90" s="4" t="str">
        <f t="shared" si="169"/>
        <v/>
      </c>
      <c r="NV90" s="4" t="str">
        <f t="shared" si="170"/>
        <v/>
      </c>
      <c r="NW90" s="4" t="str">
        <f t="shared" si="171"/>
        <v/>
      </c>
      <c r="NX90" s="4" t="str">
        <f t="shared" si="172"/>
        <v/>
      </c>
      <c r="NY90" s="4" t="str">
        <f t="shared" si="173"/>
        <v/>
      </c>
      <c r="NZ90" s="4" t="str">
        <f t="shared" si="174"/>
        <v/>
      </c>
      <c r="OA90" s="4" t="str">
        <f t="shared" si="175"/>
        <v/>
      </c>
      <c r="OB90" s="4" t="str">
        <f t="shared" si="176"/>
        <v/>
      </c>
      <c r="OC90" s="4" t="str">
        <f t="shared" si="177"/>
        <v/>
      </c>
      <c r="OD90" s="4" t="str">
        <f t="shared" si="178"/>
        <v/>
      </c>
      <c r="OE90" s="4" t="str">
        <f t="shared" si="179"/>
        <v/>
      </c>
      <c r="OF90" s="4" t="str">
        <f t="shared" si="180"/>
        <v/>
      </c>
      <c r="OG90" s="4" t="str">
        <f t="shared" si="181"/>
        <v/>
      </c>
      <c r="OH90" s="4" t="str">
        <f t="shared" si="182"/>
        <v/>
      </c>
      <c r="OI90" s="4" t="str">
        <f t="shared" si="183"/>
        <v/>
      </c>
      <c r="OJ90" s="4" t="str">
        <f t="shared" si="184"/>
        <v/>
      </c>
      <c r="OK90" s="4" t="str">
        <f t="shared" si="185"/>
        <v/>
      </c>
      <c r="OL90" s="4" t="str">
        <f t="shared" si="186"/>
        <v/>
      </c>
      <c r="OM90" s="4" t="str">
        <f t="shared" si="187"/>
        <v/>
      </c>
      <c r="ON90" s="4" t="str">
        <f t="shared" si="188"/>
        <v/>
      </c>
      <c r="OO90" s="4" t="str">
        <f t="shared" si="189"/>
        <v/>
      </c>
      <c r="OP90" s="4" t="str">
        <f t="shared" si="190"/>
        <v/>
      </c>
      <c r="OQ90" s="4" t="str">
        <f t="shared" si="191"/>
        <v/>
      </c>
      <c r="OR90" s="4" t="str">
        <f t="shared" si="192"/>
        <v/>
      </c>
      <c r="OS90" s="4" t="str">
        <f t="shared" si="193"/>
        <v/>
      </c>
      <c r="OT90" s="4" t="str">
        <f t="shared" si="194"/>
        <v/>
      </c>
      <c r="OU90" s="4" t="str">
        <f t="shared" si="195"/>
        <v/>
      </c>
      <c r="OV90" s="4" t="str">
        <f t="shared" si="196"/>
        <v/>
      </c>
      <c r="OW90" s="4" t="str">
        <f t="shared" si="197"/>
        <v/>
      </c>
      <c r="OX90" s="4" t="str">
        <f t="shared" si="198"/>
        <v/>
      </c>
      <c r="OY90" s="4" t="str">
        <f t="shared" si="199"/>
        <v/>
      </c>
      <c r="OZ90" s="4" t="str">
        <f t="shared" si="200"/>
        <v/>
      </c>
      <c r="PA90" s="4" t="str">
        <f t="shared" si="201"/>
        <v/>
      </c>
      <c r="PB90" s="4" t="str">
        <f t="shared" si="202"/>
        <v/>
      </c>
      <c r="PC90" s="4" t="str">
        <f t="shared" si="203"/>
        <v/>
      </c>
      <c r="PD90" s="4" t="str">
        <f t="shared" si="204"/>
        <v/>
      </c>
      <c r="PE90" s="4" t="str">
        <f t="shared" si="205"/>
        <v/>
      </c>
      <c r="PF90" s="4" t="str">
        <f t="shared" si="206"/>
        <v/>
      </c>
      <c r="PG90" s="4" t="str">
        <f t="shared" si="207"/>
        <v/>
      </c>
      <c r="PH90" s="4" t="str">
        <f t="shared" si="208"/>
        <v/>
      </c>
      <c r="PI90" s="4" t="str">
        <f t="shared" si="209"/>
        <v/>
      </c>
      <c r="PJ90" s="4" t="str">
        <f t="shared" si="210"/>
        <v/>
      </c>
      <c r="PK90" s="4" t="str">
        <f t="shared" si="211"/>
        <v/>
      </c>
      <c r="PL90" s="4" t="str">
        <f t="shared" si="212"/>
        <v/>
      </c>
      <c r="PM90" s="4" t="str">
        <f t="shared" si="213"/>
        <v/>
      </c>
      <c r="PN90" s="4" t="str">
        <f t="shared" si="214"/>
        <v/>
      </c>
      <c r="PO90" s="4" t="str">
        <f t="shared" si="215"/>
        <v/>
      </c>
      <c r="PP90" s="4" t="str">
        <f t="shared" si="216"/>
        <v/>
      </c>
      <c r="PQ90" s="4" t="str">
        <f t="shared" si="217"/>
        <v/>
      </c>
      <c r="PR90" s="4" t="str">
        <f t="shared" si="218"/>
        <v/>
      </c>
      <c r="PS90" s="4" t="str">
        <f t="shared" si="219"/>
        <v/>
      </c>
    </row>
    <row r="91">
      <c r="HI91" s="4" t="str">
        <f t="shared" si="2"/>
        <v/>
      </c>
      <c r="HJ91" s="4" t="str">
        <f t="shared" si="3"/>
        <v/>
      </c>
      <c r="HK91" s="4" t="str">
        <f t="shared" si="4"/>
        <v/>
      </c>
      <c r="HL91" s="4" t="str">
        <f t="shared" si="5"/>
        <v/>
      </c>
      <c r="HM91" s="4" t="str">
        <f t="shared" si="6"/>
        <v/>
      </c>
      <c r="HN91" s="4" t="str">
        <f t="shared" si="7"/>
        <v/>
      </c>
      <c r="HO91" s="4" t="str">
        <f t="shared" si="8"/>
        <v/>
      </c>
      <c r="HP91" s="4" t="str">
        <f t="shared" si="9"/>
        <v/>
      </c>
      <c r="HQ91" s="4" t="str">
        <f t="shared" si="10"/>
        <v/>
      </c>
      <c r="HR91" s="4" t="str">
        <f t="shared" si="11"/>
        <v/>
      </c>
      <c r="HS91" s="4" t="str">
        <f t="shared" si="12"/>
        <v/>
      </c>
      <c r="HT91" s="4" t="str">
        <f t="shared" si="13"/>
        <v/>
      </c>
      <c r="HU91" s="4" t="str">
        <f t="shared" si="14"/>
        <v/>
      </c>
      <c r="HV91" s="4" t="str">
        <f t="shared" si="15"/>
        <v/>
      </c>
      <c r="HW91" s="4" t="str">
        <f t="shared" si="16"/>
        <v/>
      </c>
      <c r="HX91" s="4" t="str">
        <f t="shared" si="17"/>
        <v/>
      </c>
      <c r="HY91" s="4" t="str">
        <f t="shared" si="18"/>
        <v/>
      </c>
      <c r="HZ91" s="4" t="str">
        <f t="shared" si="19"/>
        <v/>
      </c>
      <c r="IA91" s="4" t="str">
        <f t="shared" si="20"/>
        <v/>
      </c>
      <c r="IB91" s="4" t="str">
        <f t="shared" si="21"/>
        <v/>
      </c>
      <c r="IC91" s="4" t="str">
        <f t="shared" si="22"/>
        <v/>
      </c>
      <c r="ID91" s="4" t="str">
        <f t="shared" si="23"/>
        <v/>
      </c>
      <c r="IE91" s="4" t="str">
        <f t="shared" si="24"/>
        <v/>
      </c>
      <c r="IF91" s="4" t="str">
        <f t="shared" si="25"/>
        <v/>
      </c>
      <c r="IG91" s="4" t="str">
        <f t="shared" si="26"/>
        <v/>
      </c>
      <c r="IH91" s="4" t="str">
        <f t="shared" si="27"/>
        <v/>
      </c>
      <c r="II91" s="4" t="str">
        <f t="shared" si="28"/>
        <v/>
      </c>
      <c r="IJ91" s="4" t="str">
        <f t="shared" si="29"/>
        <v/>
      </c>
      <c r="IK91" s="4" t="str">
        <f t="shared" si="30"/>
        <v/>
      </c>
      <c r="IL91" s="4" t="str">
        <f t="shared" si="31"/>
        <v/>
      </c>
      <c r="IM91" s="4" t="str">
        <f t="shared" si="32"/>
        <v/>
      </c>
      <c r="IN91" s="4" t="str">
        <f t="shared" si="33"/>
        <v/>
      </c>
      <c r="IO91" s="4" t="str">
        <f t="shared" si="34"/>
        <v/>
      </c>
      <c r="IP91" s="4" t="str">
        <f t="shared" si="35"/>
        <v/>
      </c>
      <c r="IQ91" s="4" t="str">
        <f t="shared" si="36"/>
        <v/>
      </c>
      <c r="IR91" s="4" t="str">
        <f t="shared" si="37"/>
        <v/>
      </c>
      <c r="IS91" s="4" t="str">
        <f t="shared" si="38"/>
        <v/>
      </c>
      <c r="IT91" s="4" t="str">
        <f t="shared" si="39"/>
        <v/>
      </c>
      <c r="IU91" s="4" t="str">
        <f t="shared" si="40"/>
        <v/>
      </c>
      <c r="IV91" s="4" t="str">
        <f t="shared" si="41"/>
        <v/>
      </c>
      <c r="IW91" s="4" t="str">
        <f t="shared" si="42"/>
        <v/>
      </c>
      <c r="IX91" s="4" t="str">
        <f t="shared" si="43"/>
        <v/>
      </c>
      <c r="IY91" s="4" t="str">
        <f t="shared" si="44"/>
        <v/>
      </c>
      <c r="IZ91" s="4" t="str">
        <f t="shared" si="45"/>
        <v/>
      </c>
      <c r="JA91" s="4" t="str">
        <f t="shared" ref="JA91:JB91" si="307">if(ISERROR(SEARCH("Higher Education",BB91)),"","810")</f>
        <v/>
      </c>
      <c r="JB91" s="4" t="str">
        <f t="shared" si="307"/>
        <v/>
      </c>
      <c r="JC91" s="4" t="str">
        <f t="shared" si="47"/>
        <v/>
      </c>
      <c r="JD91" s="4" t="str">
        <f t="shared" si="48"/>
        <v/>
      </c>
      <c r="JE91" s="4" t="str">
        <f t="shared" si="49"/>
        <v/>
      </c>
      <c r="JF91" s="4" t="str">
        <f t="shared" si="50"/>
        <v/>
      </c>
      <c r="JG91" s="4" t="str">
        <f t="shared" si="51"/>
        <v/>
      </c>
      <c r="JH91" s="4" t="str">
        <f t="shared" si="52"/>
        <v/>
      </c>
      <c r="JI91" s="4" t="str">
        <f t="shared" si="53"/>
        <v/>
      </c>
      <c r="JJ91" s="4" t="str">
        <f t="shared" si="54"/>
        <v/>
      </c>
      <c r="JK91" s="4" t="str">
        <f t="shared" si="55"/>
        <v/>
      </c>
      <c r="JL91" s="4" t="str">
        <f t="shared" si="56"/>
        <v/>
      </c>
      <c r="JM91" s="4" t="str">
        <f t="shared" si="57"/>
        <v/>
      </c>
      <c r="JN91" s="4" t="str">
        <f t="shared" si="58"/>
        <v/>
      </c>
      <c r="JO91" s="4" t="str">
        <f t="shared" si="59"/>
        <v/>
      </c>
      <c r="JP91" s="4" t="str">
        <f t="shared" si="60"/>
        <v/>
      </c>
      <c r="JQ91" s="4" t="str">
        <f t="shared" si="61"/>
        <v/>
      </c>
      <c r="JR91" s="4" t="str">
        <f t="shared" si="62"/>
        <v/>
      </c>
      <c r="JS91" s="4" t="str">
        <f t="shared" si="63"/>
        <v/>
      </c>
      <c r="JT91" s="4" t="str">
        <f t="shared" si="64"/>
        <v/>
      </c>
      <c r="JU91" s="4" t="str">
        <f t="shared" si="65"/>
        <v/>
      </c>
      <c r="JV91" s="4" t="str">
        <f t="shared" si="66"/>
        <v/>
      </c>
      <c r="JW91" s="4" t="str">
        <f t="shared" si="67"/>
        <v/>
      </c>
      <c r="JX91" s="4" t="str">
        <f t="shared" si="68"/>
        <v/>
      </c>
      <c r="JY91" s="4" t="str">
        <f t="shared" si="69"/>
        <v/>
      </c>
      <c r="JZ91" s="4" t="str">
        <f t="shared" si="70"/>
        <v/>
      </c>
      <c r="KA91" s="4" t="str">
        <f t="shared" si="71"/>
        <v/>
      </c>
      <c r="KB91" s="4" t="str">
        <f t="shared" si="72"/>
        <v/>
      </c>
      <c r="KC91" s="4" t="str">
        <f t="shared" si="73"/>
        <v/>
      </c>
      <c r="KD91" s="4" t="str">
        <f t="shared" si="74"/>
        <v/>
      </c>
      <c r="KE91" s="4" t="str">
        <f t="shared" si="75"/>
        <v/>
      </c>
      <c r="KF91" s="4" t="str">
        <f t="shared" si="76"/>
        <v/>
      </c>
      <c r="KG91" s="4" t="str">
        <f t="shared" si="77"/>
        <v/>
      </c>
      <c r="KH91" s="4" t="str">
        <f t="shared" si="78"/>
        <v/>
      </c>
      <c r="KI91" s="4" t="str">
        <f t="shared" si="79"/>
        <v/>
      </c>
      <c r="KJ91" s="4" t="str">
        <f t="shared" si="80"/>
        <v/>
      </c>
      <c r="KK91" s="4" t="str">
        <f t="shared" si="81"/>
        <v/>
      </c>
      <c r="KL91" s="4" t="str">
        <f t="shared" si="82"/>
        <v/>
      </c>
      <c r="KM91" s="4" t="str">
        <f t="shared" si="83"/>
        <v/>
      </c>
      <c r="KN91" s="4" t="str">
        <f t="shared" si="84"/>
        <v/>
      </c>
      <c r="KO91" s="4" t="str">
        <f t="shared" si="85"/>
        <v/>
      </c>
      <c r="KP91" s="4" t="str">
        <f t="shared" si="86"/>
        <v/>
      </c>
      <c r="KQ91" s="4" t="str">
        <f t="shared" si="87"/>
        <v/>
      </c>
      <c r="KR91" s="4" t="str">
        <f t="shared" si="88"/>
        <v/>
      </c>
      <c r="KS91" s="4" t="str">
        <f t="shared" si="89"/>
        <v/>
      </c>
      <c r="KT91" s="4" t="str">
        <f t="shared" si="90"/>
        <v/>
      </c>
      <c r="KU91" s="4" t="str">
        <f t="shared" si="91"/>
        <v/>
      </c>
      <c r="KV91" s="4" t="str">
        <f t="shared" si="92"/>
        <v/>
      </c>
      <c r="KW91" s="4" t="str">
        <f t="shared" si="93"/>
        <v/>
      </c>
      <c r="KX91" s="4" t="str">
        <f t="shared" si="94"/>
        <v/>
      </c>
      <c r="KY91" s="4" t="str">
        <f t="shared" si="95"/>
        <v/>
      </c>
      <c r="KZ91" s="4" t="str">
        <f t="shared" si="96"/>
        <v/>
      </c>
      <c r="LA91" s="4" t="str">
        <f t="shared" si="97"/>
        <v/>
      </c>
      <c r="LB91" s="4" t="str">
        <f t="shared" si="98"/>
        <v/>
      </c>
      <c r="LC91" s="4" t="str">
        <f t="shared" si="99"/>
        <v/>
      </c>
      <c r="LD91" s="4" t="str">
        <f t="shared" si="100"/>
        <v/>
      </c>
      <c r="LE91" s="4" t="str">
        <f t="shared" si="101"/>
        <v/>
      </c>
      <c r="LF91" s="4" t="str">
        <f t="shared" si="102"/>
        <v/>
      </c>
      <c r="LG91" s="4" t="str">
        <f t="shared" si="103"/>
        <v/>
      </c>
      <c r="LH91" s="4" t="str">
        <f t="shared" si="104"/>
        <v/>
      </c>
      <c r="LI91" s="4" t="str">
        <f t="shared" si="105"/>
        <v/>
      </c>
      <c r="LJ91" s="4" t="str">
        <f t="shared" si="106"/>
        <v/>
      </c>
      <c r="LK91" s="4" t="str">
        <f t="shared" si="107"/>
        <v/>
      </c>
      <c r="LL91" s="4" t="str">
        <f t="shared" si="108"/>
        <v/>
      </c>
      <c r="LM91" s="4" t="str">
        <f t="shared" si="109"/>
        <v/>
      </c>
      <c r="LN91" s="4" t="str">
        <f t="shared" si="110"/>
        <v/>
      </c>
      <c r="LO91" s="4" t="str">
        <f t="shared" si="111"/>
        <v/>
      </c>
      <c r="LP91" s="4" t="str">
        <f t="shared" si="112"/>
        <v/>
      </c>
      <c r="LQ91" s="4" t="str">
        <f t="shared" si="113"/>
        <v/>
      </c>
      <c r="LR91" s="4" t="str">
        <f t="shared" si="114"/>
        <v/>
      </c>
      <c r="LS91" s="4" t="str">
        <f t="shared" si="115"/>
        <v/>
      </c>
      <c r="LT91" s="4" t="str">
        <f t="shared" si="116"/>
        <v/>
      </c>
      <c r="LU91" s="4" t="str">
        <f t="shared" si="117"/>
        <v/>
      </c>
      <c r="LV91" s="4" t="str">
        <f t="shared" si="118"/>
        <v/>
      </c>
      <c r="LW91" s="4" t="str">
        <f t="shared" si="119"/>
        <v/>
      </c>
      <c r="LX91" s="4" t="str">
        <f t="shared" si="120"/>
        <v/>
      </c>
      <c r="LY91" s="4" t="str">
        <f t="shared" si="121"/>
        <v/>
      </c>
      <c r="LZ91" s="4" t="str">
        <f t="shared" si="122"/>
        <v/>
      </c>
      <c r="MA91" s="4" t="str">
        <f t="shared" si="123"/>
        <v/>
      </c>
      <c r="MB91" s="4" t="str">
        <f t="shared" si="124"/>
        <v/>
      </c>
      <c r="MC91" s="4" t="str">
        <f t="shared" si="125"/>
        <v/>
      </c>
      <c r="MD91" s="4" t="str">
        <f t="shared" si="126"/>
        <v/>
      </c>
      <c r="ME91" s="4" t="str">
        <f t="shared" si="127"/>
        <v/>
      </c>
      <c r="MF91" s="4" t="str">
        <f t="shared" si="128"/>
        <v/>
      </c>
      <c r="MG91" s="4" t="str">
        <f t="shared" si="129"/>
        <v/>
      </c>
      <c r="MH91" s="4" t="str">
        <f t="shared" si="130"/>
        <v/>
      </c>
      <c r="MI91" s="4" t="str">
        <f t="shared" si="131"/>
        <v/>
      </c>
      <c r="MJ91" s="4" t="str">
        <f t="shared" si="132"/>
        <v/>
      </c>
      <c r="MK91" s="4" t="str">
        <f t="shared" si="133"/>
        <v/>
      </c>
      <c r="ML91" s="4" t="str">
        <f t="shared" si="134"/>
        <v/>
      </c>
      <c r="MM91" s="4" t="str">
        <f t="shared" si="135"/>
        <v/>
      </c>
      <c r="MN91" s="4" t="str">
        <f t="shared" si="136"/>
        <v/>
      </c>
      <c r="MO91" s="4" t="str">
        <f t="shared" si="137"/>
        <v/>
      </c>
      <c r="MP91" s="4" t="str">
        <f t="shared" si="138"/>
        <v/>
      </c>
      <c r="MQ91" s="4" t="str">
        <f t="shared" si="139"/>
        <v/>
      </c>
      <c r="MR91" s="4" t="str">
        <f t="shared" si="140"/>
        <v/>
      </c>
      <c r="MS91" s="4" t="str">
        <f t="shared" si="141"/>
        <v/>
      </c>
      <c r="MT91" s="4" t="str">
        <f t="shared" si="142"/>
        <v/>
      </c>
      <c r="MU91" s="4" t="str">
        <f t="shared" si="143"/>
        <v/>
      </c>
      <c r="MV91" s="4" t="str">
        <f t="shared" si="144"/>
        <v/>
      </c>
      <c r="MW91" s="4" t="str">
        <f t="shared" si="145"/>
        <v/>
      </c>
      <c r="MX91" s="4" t="str">
        <f t="shared" si="146"/>
        <v/>
      </c>
      <c r="MY91" s="4" t="str">
        <f t="shared" si="147"/>
        <v/>
      </c>
      <c r="MZ91" s="4" t="str">
        <f t="shared" si="148"/>
        <v/>
      </c>
      <c r="NA91" s="4" t="str">
        <f t="shared" si="149"/>
        <v/>
      </c>
      <c r="NB91" s="4" t="str">
        <f t="shared" si="150"/>
        <v/>
      </c>
      <c r="NC91" s="4" t="str">
        <f t="shared" si="151"/>
        <v/>
      </c>
      <c r="ND91" s="4" t="str">
        <f t="shared" si="152"/>
        <v/>
      </c>
      <c r="NE91" s="4" t="str">
        <f t="shared" si="153"/>
        <v/>
      </c>
      <c r="NF91" s="4" t="str">
        <f t="shared" si="154"/>
        <v/>
      </c>
      <c r="NG91" s="4" t="str">
        <f t="shared" si="155"/>
        <v/>
      </c>
      <c r="NH91" s="4" t="str">
        <f t="shared" si="156"/>
        <v/>
      </c>
      <c r="NI91" s="4" t="str">
        <f t="shared" si="157"/>
        <v/>
      </c>
      <c r="NJ91" s="4" t="str">
        <f t="shared" si="158"/>
        <v/>
      </c>
      <c r="NK91" s="4" t="str">
        <f t="shared" si="159"/>
        <v/>
      </c>
      <c r="NL91" s="4" t="str">
        <f t="shared" si="160"/>
        <v/>
      </c>
      <c r="NM91" s="4" t="str">
        <f t="shared" si="161"/>
        <v/>
      </c>
      <c r="NN91" s="4" t="str">
        <f t="shared" si="162"/>
        <v/>
      </c>
      <c r="NO91" s="4" t="str">
        <f t="shared" si="163"/>
        <v/>
      </c>
      <c r="NP91" s="4" t="str">
        <f t="shared" si="164"/>
        <v/>
      </c>
      <c r="NQ91" s="4" t="str">
        <f t="shared" si="165"/>
        <v/>
      </c>
      <c r="NR91" s="4" t="str">
        <f t="shared" si="166"/>
        <v/>
      </c>
      <c r="NS91" s="4" t="str">
        <f t="shared" si="167"/>
        <v/>
      </c>
      <c r="NT91" s="4" t="str">
        <f t="shared" si="168"/>
        <v/>
      </c>
      <c r="NU91" s="4" t="str">
        <f t="shared" si="169"/>
        <v/>
      </c>
      <c r="NV91" s="4" t="str">
        <f t="shared" si="170"/>
        <v/>
      </c>
      <c r="NW91" s="4" t="str">
        <f t="shared" si="171"/>
        <v/>
      </c>
      <c r="NX91" s="4" t="str">
        <f t="shared" si="172"/>
        <v/>
      </c>
      <c r="NY91" s="4" t="str">
        <f t="shared" si="173"/>
        <v/>
      </c>
      <c r="NZ91" s="4" t="str">
        <f t="shared" si="174"/>
        <v/>
      </c>
      <c r="OA91" s="4" t="str">
        <f t="shared" si="175"/>
        <v/>
      </c>
      <c r="OB91" s="4" t="str">
        <f t="shared" si="176"/>
        <v/>
      </c>
      <c r="OC91" s="4" t="str">
        <f t="shared" si="177"/>
        <v/>
      </c>
      <c r="OD91" s="4" t="str">
        <f t="shared" si="178"/>
        <v/>
      </c>
      <c r="OE91" s="4" t="str">
        <f t="shared" si="179"/>
        <v/>
      </c>
      <c r="OF91" s="4" t="str">
        <f t="shared" si="180"/>
        <v/>
      </c>
      <c r="OG91" s="4" t="str">
        <f t="shared" si="181"/>
        <v/>
      </c>
      <c r="OH91" s="4" t="str">
        <f t="shared" si="182"/>
        <v/>
      </c>
      <c r="OI91" s="4" t="str">
        <f t="shared" si="183"/>
        <v/>
      </c>
      <c r="OJ91" s="4" t="str">
        <f t="shared" si="184"/>
        <v/>
      </c>
      <c r="OK91" s="4" t="str">
        <f t="shared" si="185"/>
        <v/>
      </c>
      <c r="OL91" s="4" t="str">
        <f t="shared" si="186"/>
        <v/>
      </c>
      <c r="OM91" s="4" t="str">
        <f t="shared" si="187"/>
        <v/>
      </c>
      <c r="ON91" s="4" t="str">
        <f t="shared" si="188"/>
        <v/>
      </c>
      <c r="OO91" s="4" t="str">
        <f t="shared" si="189"/>
        <v/>
      </c>
      <c r="OP91" s="4" t="str">
        <f t="shared" si="190"/>
        <v/>
      </c>
      <c r="OQ91" s="4" t="str">
        <f t="shared" si="191"/>
        <v/>
      </c>
      <c r="OR91" s="4" t="str">
        <f t="shared" si="192"/>
        <v/>
      </c>
      <c r="OS91" s="4" t="str">
        <f t="shared" si="193"/>
        <v/>
      </c>
      <c r="OT91" s="4" t="str">
        <f t="shared" si="194"/>
        <v/>
      </c>
      <c r="OU91" s="4" t="str">
        <f t="shared" si="195"/>
        <v/>
      </c>
      <c r="OV91" s="4" t="str">
        <f t="shared" si="196"/>
        <v/>
      </c>
      <c r="OW91" s="4" t="str">
        <f t="shared" si="197"/>
        <v/>
      </c>
      <c r="OX91" s="4" t="str">
        <f t="shared" si="198"/>
        <v/>
      </c>
      <c r="OY91" s="4" t="str">
        <f t="shared" si="199"/>
        <v/>
      </c>
      <c r="OZ91" s="4" t="str">
        <f t="shared" si="200"/>
        <v/>
      </c>
      <c r="PA91" s="4" t="str">
        <f t="shared" si="201"/>
        <v/>
      </c>
      <c r="PB91" s="4" t="str">
        <f t="shared" si="202"/>
        <v/>
      </c>
      <c r="PC91" s="4" t="str">
        <f t="shared" si="203"/>
        <v/>
      </c>
      <c r="PD91" s="4" t="str">
        <f t="shared" si="204"/>
        <v/>
      </c>
      <c r="PE91" s="4" t="str">
        <f t="shared" si="205"/>
        <v/>
      </c>
      <c r="PF91" s="4" t="str">
        <f t="shared" si="206"/>
        <v/>
      </c>
      <c r="PG91" s="4" t="str">
        <f t="shared" si="207"/>
        <v/>
      </c>
      <c r="PH91" s="4" t="str">
        <f t="shared" si="208"/>
        <v/>
      </c>
      <c r="PI91" s="4" t="str">
        <f t="shared" si="209"/>
        <v/>
      </c>
      <c r="PJ91" s="4" t="str">
        <f t="shared" si="210"/>
        <v/>
      </c>
      <c r="PK91" s="4" t="str">
        <f t="shared" si="211"/>
        <v/>
      </c>
      <c r="PL91" s="4" t="str">
        <f t="shared" si="212"/>
        <v/>
      </c>
      <c r="PM91" s="4" t="str">
        <f t="shared" si="213"/>
        <v/>
      </c>
      <c r="PN91" s="4" t="str">
        <f t="shared" si="214"/>
        <v/>
      </c>
      <c r="PO91" s="4" t="str">
        <f t="shared" si="215"/>
        <v/>
      </c>
      <c r="PP91" s="4" t="str">
        <f t="shared" si="216"/>
        <v/>
      </c>
      <c r="PQ91" s="4" t="str">
        <f t="shared" si="217"/>
        <v/>
      </c>
      <c r="PR91" s="4" t="str">
        <f t="shared" si="218"/>
        <v/>
      </c>
      <c r="PS91" s="4" t="str">
        <f t="shared" si="219"/>
        <v/>
      </c>
    </row>
    <row r="92">
      <c r="HI92" s="4" t="str">
        <f t="shared" si="2"/>
        <v/>
      </c>
      <c r="HJ92" s="4" t="str">
        <f t="shared" si="3"/>
        <v/>
      </c>
      <c r="HK92" s="4" t="str">
        <f t="shared" si="4"/>
        <v/>
      </c>
      <c r="HL92" s="4" t="str">
        <f t="shared" si="5"/>
        <v/>
      </c>
      <c r="HM92" s="4" t="str">
        <f t="shared" si="6"/>
        <v/>
      </c>
      <c r="HN92" s="4" t="str">
        <f t="shared" si="7"/>
        <v/>
      </c>
      <c r="HO92" s="4" t="str">
        <f t="shared" si="8"/>
        <v/>
      </c>
      <c r="HP92" s="4" t="str">
        <f t="shared" si="9"/>
        <v/>
      </c>
      <c r="HQ92" s="4" t="str">
        <f t="shared" si="10"/>
        <v/>
      </c>
      <c r="HR92" s="4" t="str">
        <f t="shared" si="11"/>
        <v/>
      </c>
      <c r="HS92" s="4" t="str">
        <f t="shared" si="12"/>
        <v/>
      </c>
      <c r="HT92" s="4" t="str">
        <f t="shared" si="13"/>
        <v/>
      </c>
      <c r="HU92" s="4" t="str">
        <f t="shared" si="14"/>
        <v/>
      </c>
      <c r="HV92" s="4" t="str">
        <f t="shared" si="15"/>
        <v/>
      </c>
      <c r="HW92" s="4" t="str">
        <f t="shared" si="16"/>
        <v/>
      </c>
      <c r="HX92" s="4" t="str">
        <f t="shared" si="17"/>
        <v/>
      </c>
      <c r="HY92" s="4" t="str">
        <f t="shared" si="18"/>
        <v/>
      </c>
      <c r="HZ92" s="4" t="str">
        <f t="shared" si="19"/>
        <v/>
      </c>
      <c r="IA92" s="4" t="str">
        <f t="shared" si="20"/>
        <v/>
      </c>
      <c r="IB92" s="4" t="str">
        <f t="shared" si="21"/>
        <v/>
      </c>
      <c r="IC92" s="4" t="str">
        <f t="shared" si="22"/>
        <v/>
      </c>
      <c r="ID92" s="4" t="str">
        <f t="shared" si="23"/>
        <v/>
      </c>
      <c r="IE92" s="4" t="str">
        <f t="shared" si="24"/>
        <v/>
      </c>
      <c r="IF92" s="4" t="str">
        <f t="shared" si="25"/>
        <v/>
      </c>
      <c r="IG92" s="4" t="str">
        <f t="shared" si="26"/>
        <v/>
      </c>
      <c r="IH92" s="4" t="str">
        <f t="shared" si="27"/>
        <v/>
      </c>
      <c r="II92" s="4" t="str">
        <f t="shared" si="28"/>
        <v/>
      </c>
      <c r="IJ92" s="4" t="str">
        <f t="shared" si="29"/>
        <v/>
      </c>
      <c r="IK92" s="4" t="str">
        <f t="shared" si="30"/>
        <v/>
      </c>
      <c r="IL92" s="4" t="str">
        <f t="shared" si="31"/>
        <v/>
      </c>
      <c r="IM92" s="4" t="str">
        <f t="shared" si="32"/>
        <v/>
      </c>
      <c r="IN92" s="4" t="str">
        <f t="shared" si="33"/>
        <v/>
      </c>
      <c r="IO92" s="4" t="str">
        <f t="shared" si="34"/>
        <v/>
      </c>
      <c r="IP92" s="4" t="str">
        <f t="shared" si="35"/>
        <v/>
      </c>
      <c r="IQ92" s="4" t="str">
        <f t="shared" si="36"/>
        <v/>
      </c>
      <c r="IR92" s="4" t="str">
        <f t="shared" si="37"/>
        <v/>
      </c>
      <c r="IS92" s="4" t="str">
        <f t="shared" si="38"/>
        <v/>
      </c>
      <c r="IT92" s="4" t="str">
        <f t="shared" si="39"/>
        <v/>
      </c>
      <c r="IU92" s="4" t="str">
        <f t="shared" si="40"/>
        <v/>
      </c>
      <c r="IV92" s="4" t="str">
        <f t="shared" si="41"/>
        <v/>
      </c>
      <c r="IW92" s="4" t="str">
        <f t="shared" si="42"/>
        <v/>
      </c>
      <c r="IX92" s="4" t="str">
        <f t="shared" si="43"/>
        <v/>
      </c>
      <c r="IY92" s="4" t="str">
        <f t="shared" si="44"/>
        <v/>
      </c>
      <c r="IZ92" s="4" t="str">
        <f t="shared" si="45"/>
        <v/>
      </c>
      <c r="JA92" s="4" t="str">
        <f t="shared" ref="JA92:JB92" si="308">if(ISERROR(SEARCH("Higher Education",BB92)),"","810")</f>
        <v/>
      </c>
      <c r="JB92" s="4" t="str">
        <f t="shared" si="308"/>
        <v/>
      </c>
      <c r="JC92" s="4" t="str">
        <f t="shared" si="47"/>
        <v/>
      </c>
      <c r="JD92" s="4" t="str">
        <f t="shared" si="48"/>
        <v/>
      </c>
      <c r="JE92" s="4" t="str">
        <f t="shared" si="49"/>
        <v/>
      </c>
      <c r="JF92" s="4" t="str">
        <f t="shared" si="50"/>
        <v/>
      </c>
      <c r="JG92" s="4" t="str">
        <f t="shared" si="51"/>
        <v/>
      </c>
      <c r="JH92" s="4" t="str">
        <f t="shared" si="52"/>
        <v/>
      </c>
      <c r="JI92" s="4" t="str">
        <f t="shared" si="53"/>
        <v/>
      </c>
      <c r="JJ92" s="4" t="str">
        <f t="shared" si="54"/>
        <v/>
      </c>
      <c r="JK92" s="4" t="str">
        <f t="shared" si="55"/>
        <v/>
      </c>
      <c r="JL92" s="4" t="str">
        <f t="shared" si="56"/>
        <v/>
      </c>
      <c r="JM92" s="4" t="str">
        <f t="shared" si="57"/>
        <v/>
      </c>
      <c r="JN92" s="4" t="str">
        <f t="shared" si="58"/>
        <v/>
      </c>
      <c r="JO92" s="4" t="str">
        <f t="shared" si="59"/>
        <v/>
      </c>
      <c r="JP92" s="4" t="str">
        <f t="shared" si="60"/>
        <v/>
      </c>
      <c r="JQ92" s="4" t="str">
        <f t="shared" si="61"/>
        <v/>
      </c>
      <c r="JR92" s="4" t="str">
        <f t="shared" si="62"/>
        <v/>
      </c>
      <c r="JS92" s="4" t="str">
        <f t="shared" si="63"/>
        <v/>
      </c>
      <c r="JT92" s="4" t="str">
        <f t="shared" si="64"/>
        <v/>
      </c>
      <c r="JU92" s="4" t="str">
        <f t="shared" si="65"/>
        <v/>
      </c>
      <c r="JV92" s="4" t="str">
        <f t="shared" si="66"/>
        <v/>
      </c>
      <c r="JW92" s="4" t="str">
        <f t="shared" si="67"/>
        <v/>
      </c>
      <c r="JX92" s="4" t="str">
        <f t="shared" si="68"/>
        <v/>
      </c>
      <c r="JY92" s="4" t="str">
        <f t="shared" si="69"/>
        <v/>
      </c>
      <c r="JZ92" s="4" t="str">
        <f t="shared" si="70"/>
        <v/>
      </c>
      <c r="KA92" s="4" t="str">
        <f t="shared" si="71"/>
        <v/>
      </c>
      <c r="KB92" s="4" t="str">
        <f t="shared" si="72"/>
        <v/>
      </c>
      <c r="KC92" s="4" t="str">
        <f t="shared" si="73"/>
        <v/>
      </c>
      <c r="KD92" s="4" t="str">
        <f t="shared" si="74"/>
        <v/>
      </c>
      <c r="KE92" s="4" t="str">
        <f t="shared" si="75"/>
        <v/>
      </c>
      <c r="KF92" s="4" t="str">
        <f t="shared" si="76"/>
        <v/>
      </c>
      <c r="KG92" s="4" t="str">
        <f t="shared" si="77"/>
        <v/>
      </c>
      <c r="KH92" s="4" t="str">
        <f t="shared" si="78"/>
        <v/>
      </c>
      <c r="KI92" s="4" t="str">
        <f t="shared" si="79"/>
        <v/>
      </c>
      <c r="KJ92" s="4" t="str">
        <f t="shared" si="80"/>
        <v/>
      </c>
      <c r="KK92" s="4" t="str">
        <f t="shared" si="81"/>
        <v/>
      </c>
      <c r="KL92" s="4" t="str">
        <f t="shared" si="82"/>
        <v/>
      </c>
      <c r="KM92" s="4" t="str">
        <f t="shared" si="83"/>
        <v/>
      </c>
      <c r="KN92" s="4" t="str">
        <f t="shared" si="84"/>
        <v/>
      </c>
      <c r="KO92" s="4" t="str">
        <f t="shared" si="85"/>
        <v/>
      </c>
      <c r="KP92" s="4" t="str">
        <f t="shared" si="86"/>
        <v/>
      </c>
      <c r="KQ92" s="4" t="str">
        <f t="shared" si="87"/>
        <v/>
      </c>
      <c r="KR92" s="4" t="str">
        <f t="shared" si="88"/>
        <v/>
      </c>
      <c r="KS92" s="4" t="str">
        <f t="shared" si="89"/>
        <v/>
      </c>
      <c r="KT92" s="4" t="str">
        <f t="shared" si="90"/>
        <v/>
      </c>
      <c r="KU92" s="4" t="str">
        <f t="shared" si="91"/>
        <v/>
      </c>
      <c r="KV92" s="4" t="str">
        <f t="shared" si="92"/>
        <v/>
      </c>
      <c r="KW92" s="4" t="str">
        <f t="shared" si="93"/>
        <v/>
      </c>
      <c r="KX92" s="4" t="str">
        <f t="shared" si="94"/>
        <v/>
      </c>
      <c r="KY92" s="4" t="str">
        <f t="shared" si="95"/>
        <v/>
      </c>
      <c r="KZ92" s="4" t="str">
        <f t="shared" si="96"/>
        <v/>
      </c>
      <c r="LA92" s="4" t="str">
        <f t="shared" si="97"/>
        <v/>
      </c>
      <c r="LB92" s="4" t="str">
        <f t="shared" si="98"/>
        <v/>
      </c>
      <c r="LC92" s="4" t="str">
        <f t="shared" si="99"/>
        <v/>
      </c>
      <c r="LD92" s="4" t="str">
        <f t="shared" si="100"/>
        <v/>
      </c>
      <c r="LE92" s="4" t="str">
        <f t="shared" si="101"/>
        <v/>
      </c>
      <c r="LF92" s="4" t="str">
        <f t="shared" si="102"/>
        <v/>
      </c>
      <c r="LG92" s="4" t="str">
        <f t="shared" si="103"/>
        <v/>
      </c>
      <c r="LH92" s="4" t="str">
        <f t="shared" si="104"/>
        <v/>
      </c>
      <c r="LI92" s="4" t="str">
        <f t="shared" si="105"/>
        <v/>
      </c>
      <c r="LJ92" s="4" t="str">
        <f t="shared" si="106"/>
        <v/>
      </c>
      <c r="LK92" s="4" t="str">
        <f t="shared" si="107"/>
        <v/>
      </c>
      <c r="LL92" s="4" t="str">
        <f t="shared" si="108"/>
        <v/>
      </c>
      <c r="LM92" s="4" t="str">
        <f t="shared" si="109"/>
        <v/>
      </c>
      <c r="LN92" s="4" t="str">
        <f t="shared" si="110"/>
        <v/>
      </c>
      <c r="LO92" s="4" t="str">
        <f t="shared" si="111"/>
        <v/>
      </c>
      <c r="LP92" s="4" t="str">
        <f t="shared" si="112"/>
        <v/>
      </c>
      <c r="LQ92" s="4" t="str">
        <f t="shared" si="113"/>
        <v/>
      </c>
      <c r="LR92" s="4" t="str">
        <f t="shared" si="114"/>
        <v/>
      </c>
      <c r="LS92" s="4" t="str">
        <f t="shared" si="115"/>
        <v/>
      </c>
      <c r="LT92" s="4" t="str">
        <f t="shared" si="116"/>
        <v/>
      </c>
      <c r="LU92" s="4" t="str">
        <f t="shared" si="117"/>
        <v/>
      </c>
      <c r="LV92" s="4" t="str">
        <f t="shared" si="118"/>
        <v/>
      </c>
      <c r="LW92" s="4" t="str">
        <f t="shared" si="119"/>
        <v/>
      </c>
      <c r="LX92" s="4" t="str">
        <f t="shared" si="120"/>
        <v/>
      </c>
      <c r="LY92" s="4" t="str">
        <f t="shared" si="121"/>
        <v/>
      </c>
      <c r="LZ92" s="4" t="str">
        <f t="shared" si="122"/>
        <v/>
      </c>
      <c r="MA92" s="4" t="str">
        <f t="shared" si="123"/>
        <v/>
      </c>
      <c r="MB92" s="4" t="str">
        <f t="shared" si="124"/>
        <v/>
      </c>
      <c r="MC92" s="4" t="str">
        <f t="shared" si="125"/>
        <v/>
      </c>
      <c r="MD92" s="4" t="str">
        <f t="shared" si="126"/>
        <v/>
      </c>
      <c r="ME92" s="4" t="str">
        <f t="shared" si="127"/>
        <v/>
      </c>
      <c r="MF92" s="4" t="str">
        <f t="shared" si="128"/>
        <v/>
      </c>
      <c r="MG92" s="4" t="str">
        <f t="shared" si="129"/>
        <v/>
      </c>
      <c r="MH92" s="4" t="str">
        <f t="shared" si="130"/>
        <v/>
      </c>
      <c r="MI92" s="4" t="str">
        <f t="shared" si="131"/>
        <v/>
      </c>
      <c r="MJ92" s="4" t="str">
        <f t="shared" si="132"/>
        <v/>
      </c>
      <c r="MK92" s="4" t="str">
        <f t="shared" si="133"/>
        <v/>
      </c>
      <c r="ML92" s="4" t="str">
        <f t="shared" si="134"/>
        <v/>
      </c>
      <c r="MM92" s="4" t="str">
        <f t="shared" si="135"/>
        <v/>
      </c>
      <c r="MN92" s="4" t="str">
        <f t="shared" si="136"/>
        <v/>
      </c>
      <c r="MO92" s="4" t="str">
        <f t="shared" si="137"/>
        <v/>
      </c>
      <c r="MP92" s="4" t="str">
        <f t="shared" si="138"/>
        <v/>
      </c>
      <c r="MQ92" s="4" t="str">
        <f t="shared" si="139"/>
        <v/>
      </c>
      <c r="MR92" s="4" t="str">
        <f t="shared" si="140"/>
        <v/>
      </c>
      <c r="MS92" s="4" t="str">
        <f t="shared" si="141"/>
        <v/>
      </c>
      <c r="MT92" s="4" t="str">
        <f t="shared" si="142"/>
        <v/>
      </c>
      <c r="MU92" s="4" t="str">
        <f t="shared" si="143"/>
        <v/>
      </c>
      <c r="MV92" s="4" t="str">
        <f t="shared" si="144"/>
        <v/>
      </c>
      <c r="MW92" s="4" t="str">
        <f t="shared" si="145"/>
        <v/>
      </c>
      <c r="MX92" s="4" t="str">
        <f t="shared" si="146"/>
        <v/>
      </c>
      <c r="MY92" s="4" t="str">
        <f t="shared" si="147"/>
        <v/>
      </c>
      <c r="MZ92" s="4" t="str">
        <f t="shared" si="148"/>
        <v/>
      </c>
      <c r="NA92" s="4" t="str">
        <f t="shared" si="149"/>
        <v/>
      </c>
      <c r="NB92" s="4" t="str">
        <f t="shared" si="150"/>
        <v/>
      </c>
      <c r="NC92" s="4" t="str">
        <f t="shared" si="151"/>
        <v/>
      </c>
      <c r="ND92" s="4" t="str">
        <f t="shared" si="152"/>
        <v/>
      </c>
      <c r="NE92" s="4" t="str">
        <f t="shared" si="153"/>
        <v/>
      </c>
      <c r="NF92" s="4" t="str">
        <f t="shared" si="154"/>
        <v/>
      </c>
      <c r="NG92" s="4" t="str">
        <f t="shared" si="155"/>
        <v/>
      </c>
      <c r="NH92" s="4" t="str">
        <f t="shared" si="156"/>
        <v/>
      </c>
      <c r="NI92" s="4" t="str">
        <f t="shared" si="157"/>
        <v/>
      </c>
      <c r="NJ92" s="4" t="str">
        <f t="shared" si="158"/>
        <v/>
      </c>
      <c r="NK92" s="4" t="str">
        <f t="shared" si="159"/>
        <v/>
      </c>
      <c r="NL92" s="4" t="str">
        <f t="shared" si="160"/>
        <v/>
      </c>
      <c r="NM92" s="4" t="str">
        <f t="shared" si="161"/>
        <v/>
      </c>
      <c r="NN92" s="4" t="str">
        <f t="shared" si="162"/>
        <v/>
      </c>
      <c r="NO92" s="4" t="str">
        <f t="shared" si="163"/>
        <v/>
      </c>
      <c r="NP92" s="4" t="str">
        <f t="shared" si="164"/>
        <v/>
      </c>
      <c r="NQ92" s="4" t="str">
        <f t="shared" si="165"/>
        <v/>
      </c>
      <c r="NR92" s="4" t="str">
        <f t="shared" si="166"/>
        <v/>
      </c>
      <c r="NS92" s="4" t="str">
        <f t="shared" si="167"/>
        <v/>
      </c>
      <c r="NT92" s="4" t="str">
        <f t="shared" si="168"/>
        <v/>
      </c>
      <c r="NU92" s="4" t="str">
        <f t="shared" si="169"/>
        <v/>
      </c>
      <c r="NV92" s="4" t="str">
        <f t="shared" si="170"/>
        <v/>
      </c>
      <c r="NW92" s="4" t="str">
        <f t="shared" si="171"/>
        <v/>
      </c>
      <c r="NX92" s="4" t="str">
        <f t="shared" si="172"/>
        <v/>
      </c>
      <c r="NY92" s="4" t="str">
        <f t="shared" si="173"/>
        <v/>
      </c>
      <c r="NZ92" s="4" t="str">
        <f t="shared" si="174"/>
        <v/>
      </c>
      <c r="OA92" s="4" t="str">
        <f t="shared" si="175"/>
        <v/>
      </c>
      <c r="OB92" s="4" t="str">
        <f t="shared" si="176"/>
        <v/>
      </c>
      <c r="OC92" s="4" t="str">
        <f t="shared" si="177"/>
        <v/>
      </c>
      <c r="OD92" s="4" t="str">
        <f t="shared" si="178"/>
        <v/>
      </c>
      <c r="OE92" s="4" t="str">
        <f t="shared" si="179"/>
        <v/>
      </c>
      <c r="OF92" s="4" t="str">
        <f t="shared" si="180"/>
        <v/>
      </c>
      <c r="OG92" s="4" t="str">
        <f t="shared" si="181"/>
        <v/>
      </c>
      <c r="OH92" s="4" t="str">
        <f t="shared" si="182"/>
        <v/>
      </c>
      <c r="OI92" s="4" t="str">
        <f t="shared" si="183"/>
        <v/>
      </c>
      <c r="OJ92" s="4" t="str">
        <f t="shared" si="184"/>
        <v/>
      </c>
      <c r="OK92" s="4" t="str">
        <f t="shared" si="185"/>
        <v/>
      </c>
      <c r="OL92" s="4" t="str">
        <f t="shared" si="186"/>
        <v/>
      </c>
      <c r="OM92" s="4" t="str">
        <f t="shared" si="187"/>
        <v/>
      </c>
      <c r="ON92" s="4" t="str">
        <f t="shared" si="188"/>
        <v/>
      </c>
      <c r="OO92" s="4" t="str">
        <f t="shared" si="189"/>
        <v/>
      </c>
      <c r="OP92" s="4" t="str">
        <f t="shared" si="190"/>
        <v/>
      </c>
      <c r="OQ92" s="4" t="str">
        <f t="shared" si="191"/>
        <v/>
      </c>
      <c r="OR92" s="4" t="str">
        <f t="shared" si="192"/>
        <v/>
      </c>
      <c r="OS92" s="4" t="str">
        <f t="shared" si="193"/>
        <v/>
      </c>
      <c r="OT92" s="4" t="str">
        <f t="shared" si="194"/>
        <v/>
      </c>
      <c r="OU92" s="4" t="str">
        <f t="shared" si="195"/>
        <v/>
      </c>
      <c r="OV92" s="4" t="str">
        <f t="shared" si="196"/>
        <v/>
      </c>
      <c r="OW92" s="4" t="str">
        <f t="shared" si="197"/>
        <v/>
      </c>
      <c r="OX92" s="4" t="str">
        <f t="shared" si="198"/>
        <v/>
      </c>
      <c r="OY92" s="4" t="str">
        <f t="shared" si="199"/>
        <v/>
      </c>
      <c r="OZ92" s="4" t="str">
        <f t="shared" si="200"/>
        <v/>
      </c>
      <c r="PA92" s="4" t="str">
        <f t="shared" si="201"/>
        <v/>
      </c>
      <c r="PB92" s="4" t="str">
        <f t="shared" si="202"/>
        <v/>
      </c>
      <c r="PC92" s="4" t="str">
        <f t="shared" si="203"/>
        <v/>
      </c>
      <c r="PD92" s="4" t="str">
        <f t="shared" si="204"/>
        <v/>
      </c>
      <c r="PE92" s="4" t="str">
        <f t="shared" si="205"/>
        <v/>
      </c>
      <c r="PF92" s="4" t="str">
        <f t="shared" si="206"/>
        <v/>
      </c>
      <c r="PG92" s="4" t="str">
        <f t="shared" si="207"/>
        <v/>
      </c>
      <c r="PH92" s="4" t="str">
        <f t="shared" si="208"/>
        <v/>
      </c>
      <c r="PI92" s="4" t="str">
        <f t="shared" si="209"/>
        <v/>
      </c>
      <c r="PJ92" s="4" t="str">
        <f t="shared" si="210"/>
        <v/>
      </c>
      <c r="PK92" s="4" t="str">
        <f t="shared" si="211"/>
        <v/>
      </c>
      <c r="PL92" s="4" t="str">
        <f t="shared" si="212"/>
        <v/>
      </c>
      <c r="PM92" s="4" t="str">
        <f t="shared" si="213"/>
        <v/>
      </c>
      <c r="PN92" s="4" t="str">
        <f t="shared" si="214"/>
        <v/>
      </c>
      <c r="PO92" s="4" t="str">
        <f t="shared" si="215"/>
        <v/>
      </c>
      <c r="PP92" s="4" t="str">
        <f t="shared" si="216"/>
        <v/>
      </c>
      <c r="PQ92" s="4" t="str">
        <f t="shared" si="217"/>
        <v/>
      </c>
      <c r="PR92" s="4" t="str">
        <f t="shared" si="218"/>
        <v/>
      </c>
      <c r="PS92" s="4" t="str">
        <f t="shared" si="219"/>
        <v/>
      </c>
    </row>
    <row r="93">
      <c r="HI93" s="4" t="str">
        <f t="shared" si="2"/>
        <v/>
      </c>
      <c r="HJ93" s="4" t="str">
        <f t="shared" si="3"/>
        <v/>
      </c>
      <c r="HK93" s="4" t="str">
        <f t="shared" si="4"/>
        <v/>
      </c>
      <c r="HL93" s="4" t="str">
        <f t="shared" si="5"/>
        <v/>
      </c>
      <c r="HM93" s="4" t="str">
        <f t="shared" si="6"/>
        <v/>
      </c>
      <c r="HN93" s="4" t="str">
        <f t="shared" si="7"/>
        <v/>
      </c>
      <c r="HO93" s="4" t="str">
        <f t="shared" si="8"/>
        <v/>
      </c>
      <c r="HP93" s="4" t="str">
        <f t="shared" si="9"/>
        <v/>
      </c>
      <c r="HQ93" s="4" t="str">
        <f t="shared" si="10"/>
        <v/>
      </c>
      <c r="HR93" s="4" t="str">
        <f t="shared" si="11"/>
        <v/>
      </c>
      <c r="HS93" s="4" t="str">
        <f t="shared" si="12"/>
        <v/>
      </c>
      <c r="HT93" s="4" t="str">
        <f t="shared" si="13"/>
        <v/>
      </c>
      <c r="HU93" s="4" t="str">
        <f t="shared" si="14"/>
        <v/>
      </c>
      <c r="HV93" s="4" t="str">
        <f t="shared" si="15"/>
        <v/>
      </c>
      <c r="HW93" s="4" t="str">
        <f t="shared" si="16"/>
        <v/>
      </c>
      <c r="HX93" s="4" t="str">
        <f t="shared" si="17"/>
        <v/>
      </c>
      <c r="HY93" s="4" t="str">
        <f t="shared" si="18"/>
        <v/>
      </c>
      <c r="HZ93" s="4" t="str">
        <f t="shared" si="19"/>
        <v/>
      </c>
      <c r="IA93" s="4" t="str">
        <f t="shared" si="20"/>
        <v/>
      </c>
      <c r="IB93" s="4" t="str">
        <f t="shared" si="21"/>
        <v/>
      </c>
      <c r="IC93" s="4" t="str">
        <f t="shared" si="22"/>
        <v/>
      </c>
      <c r="ID93" s="4" t="str">
        <f t="shared" si="23"/>
        <v/>
      </c>
      <c r="IE93" s="4" t="str">
        <f t="shared" si="24"/>
        <v/>
      </c>
      <c r="IF93" s="4" t="str">
        <f t="shared" si="25"/>
        <v/>
      </c>
      <c r="IG93" s="4" t="str">
        <f t="shared" si="26"/>
        <v/>
      </c>
      <c r="IH93" s="4" t="str">
        <f t="shared" si="27"/>
        <v/>
      </c>
      <c r="II93" s="4" t="str">
        <f t="shared" si="28"/>
        <v/>
      </c>
      <c r="IJ93" s="4" t="str">
        <f t="shared" si="29"/>
        <v/>
      </c>
      <c r="IK93" s="4" t="str">
        <f t="shared" si="30"/>
        <v/>
      </c>
      <c r="IL93" s="4" t="str">
        <f t="shared" si="31"/>
        <v/>
      </c>
      <c r="IM93" s="4" t="str">
        <f t="shared" si="32"/>
        <v/>
      </c>
      <c r="IN93" s="4" t="str">
        <f t="shared" si="33"/>
        <v/>
      </c>
      <c r="IO93" s="4" t="str">
        <f t="shared" si="34"/>
        <v/>
      </c>
      <c r="IP93" s="4" t="str">
        <f t="shared" si="35"/>
        <v/>
      </c>
      <c r="IQ93" s="4" t="str">
        <f t="shared" si="36"/>
        <v/>
      </c>
      <c r="IR93" s="4" t="str">
        <f t="shared" si="37"/>
        <v/>
      </c>
      <c r="IS93" s="4" t="str">
        <f t="shared" si="38"/>
        <v/>
      </c>
      <c r="IT93" s="4" t="str">
        <f t="shared" si="39"/>
        <v/>
      </c>
      <c r="IU93" s="4" t="str">
        <f t="shared" si="40"/>
        <v/>
      </c>
      <c r="IV93" s="4" t="str">
        <f t="shared" si="41"/>
        <v/>
      </c>
      <c r="IW93" s="4" t="str">
        <f t="shared" si="42"/>
        <v/>
      </c>
      <c r="IX93" s="4" t="str">
        <f t="shared" si="43"/>
        <v/>
      </c>
      <c r="IY93" s="4" t="str">
        <f t="shared" si="44"/>
        <v/>
      </c>
      <c r="IZ93" s="4" t="str">
        <f t="shared" si="45"/>
        <v/>
      </c>
      <c r="JA93" s="4" t="str">
        <f t="shared" ref="JA93:JB93" si="309">if(ISERROR(SEARCH("Higher Education",BB93)),"","810")</f>
        <v/>
      </c>
      <c r="JB93" s="4" t="str">
        <f t="shared" si="309"/>
        <v/>
      </c>
      <c r="JC93" s="4" t="str">
        <f t="shared" si="47"/>
        <v/>
      </c>
      <c r="JD93" s="4" t="str">
        <f t="shared" si="48"/>
        <v/>
      </c>
      <c r="JE93" s="4" t="str">
        <f t="shared" si="49"/>
        <v/>
      </c>
      <c r="JF93" s="4" t="str">
        <f t="shared" si="50"/>
        <v/>
      </c>
      <c r="JG93" s="4" t="str">
        <f t="shared" si="51"/>
        <v/>
      </c>
      <c r="JH93" s="4" t="str">
        <f t="shared" si="52"/>
        <v/>
      </c>
      <c r="JI93" s="4" t="str">
        <f t="shared" si="53"/>
        <v/>
      </c>
      <c r="JJ93" s="4" t="str">
        <f t="shared" si="54"/>
        <v/>
      </c>
      <c r="JK93" s="4" t="str">
        <f t="shared" si="55"/>
        <v/>
      </c>
      <c r="JL93" s="4" t="str">
        <f t="shared" si="56"/>
        <v/>
      </c>
      <c r="JM93" s="4" t="str">
        <f t="shared" si="57"/>
        <v/>
      </c>
      <c r="JN93" s="4" t="str">
        <f t="shared" si="58"/>
        <v/>
      </c>
      <c r="JO93" s="4" t="str">
        <f t="shared" si="59"/>
        <v/>
      </c>
      <c r="JP93" s="4" t="str">
        <f t="shared" si="60"/>
        <v/>
      </c>
      <c r="JQ93" s="4" t="str">
        <f t="shared" si="61"/>
        <v/>
      </c>
      <c r="JR93" s="4" t="str">
        <f t="shared" si="62"/>
        <v/>
      </c>
      <c r="JS93" s="4" t="str">
        <f t="shared" si="63"/>
        <v/>
      </c>
      <c r="JT93" s="4" t="str">
        <f t="shared" si="64"/>
        <v/>
      </c>
      <c r="JU93" s="4" t="str">
        <f t="shared" si="65"/>
        <v/>
      </c>
      <c r="JV93" s="4" t="str">
        <f t="shared" si="66"/>
        <v/>
      </c>
      <c r="JW93" s="4" t="str">
        <f t="shared" si="67"/>
        <v/>
      </c>
      <c r="JX93" s="4" t="str">
        <f t="shared" si="68"/>
        <v/>
      </c>
      <c r="JY93" s="4" t="str">
        <f t="shared" si="69"/>
        <v/>
      </c>
      <c r="JZ93" s="4" t="str">
        <f t="shared" si="70"/>
        <v/>
      </c>
      <c r="KA93" s="4" t="str">
        <f t="shared" si="71"/>
        <v/>
      </c>
      <c r="KB93" s="4" t="str">
        <f t="shared" si="72"/>
        <v/>
      </c>
      <c r="KC93" s="4" t="str">
        <f t="shared" si="73"/>
        <v/>
      </c>
      <c r="KD93" s="4" t="str">
        <f t="shared" si="74"/>
        <v/>
      </c>
      <c r="KE93" s="4" t="str">
        <f t="shared" si="75"/>
        <v/>
      </c>
      <c r="KF93" s="4" t="str">
        <f t="shared" si="76"/>
        <v/>
      </c>
      <c r="KG93" s="4" t="str">
        <f t="shared" si="77"/>
        <v/>
      </c>
      <c r="KH93" s="4" t="str">
        <f t="shared" si="78"/>
        <v/>
      </c>
      <c r="KI93" s="4" t="str">
        <f t="shared" si="79"/>
        <v/>
      </c>
      <c r="KJ93" s="4" t="str">
        <f t="shared" si="80"/>
        <v/>
      </c>
      <c r="KK93" s="4" t="str">
        <f t="shared" si="81"/>
        <v/>
      </c>
      <c r="KL93" s="4" t="str">
        <f t="shared" si="82"/>
        <v/>
      </c>
      <c r="KM93" s="4" t="str">
        <f t="shared" si="83"/>
        <v/>
      </c>
      <c r="KN93" s="4" t="str">
        <f t="shared" si="84"/>
        <v/>
      </c>
      <c r="KO93" s="4" t="str">
        <f t="shared" si="85"/>
        <v/>
      </c>
      <c r="KP93" s="4" t="str">
        <f t="shared" si="86"/>
        <v/>
      </c>
      <c r="KQ93" s="4" t="str">
        <f t="shared" si="87"/>
        <v/>
      </c>
      <c r="KR93" s="4" t="str">
        <f t="shared" si="88"/>
        <v/>
      </c>
      <c r="KS93" s="4" t="str">
        <f t="shared" si="89"/>
        <v/>
      </c>
      <c r="KT93" s="4" t="str">
        <f t="shared" si="90"/>
        <v/>
      </c>
      <c r="KU93" s="4" t="str">
        <f t="shared" si="91"/>
        <v/>
      </c>
      <c r="KV93" s="4" t="str">
        <f t="shared" si="92"/>
        <v/>
      </c>
      <c r="KW93" s="4" t="str">
        <f t="shared" si="93"/>
        <v/>
      </c>
      <c r="KX93" s="4" t="str">
        <f t="shared" si="94"/>
        <v/>
      </c>
      <c r="KY93" s="4" t="str">
        <f t="shared" si="95"/>
        <v/>
      </c>
      <c r="KZ93" s="4" t="str">
        <f t="shared" si="96"/>
        <v/>
      </c>
      <c r="LA93" s="4" t="str">
        <f t="shared" si="97"/>
        <v/>
      </c>
      <c r="LB93" s="4" t="str">
        <f t="shared" si="98"/>
        <v/>
      </c>
      <c r="LC93" s="4" t="str">
        <f t="shared" si="99"/>
        <v/>
      </c>
      <c r="LD93" s="4" t="str">
        <f t="shared" si="100"/>
        <v/>
      </c>
      <c r="LE93" s="4" t="str">
        <f t="shared" si="101"/>
        <v/>
      </c>
      <c r="LF93" s="4" t="str">
        <f t="shared" si="102"/>
        <v/>
      </c>
      <c r="LG93" s="4" t="str">
        <f t="shared" si="103"/>
        <v/>
      </c>
      <c r="LH93" s="4" t="str">
        <f t="shared" si="104"/>
        <v/>
      </c>
      <c r="LI93" s="4" t="str">
        <f t="shared" si="105"/>
        <v/>
      </c>
      <c r="LJ93" s="4" t="str">
        <f t="shared" si="106"/>
        <v/>
      </c>
      <c r="LK93" s="4" t="str">
        <f t="shared" si="107"/>
        <v/>
      </c>
      <c r="LL93" s="4" t="str">
        <f t="shared" si="108"/>
        <v/>
      </c>
      <c r="LM93" s="4" t="str">
        <f t="shared" si="109"/>
        <v/>
      </c>
      <c r="LN93" s="4" t="str">
        <f t="shared" si="110"/>
        <v/>
      </c>
      <c r="LO93" s="4" t="str">
        <f t="shared" si="111"/>
        <v/>
      </c>
      <c r="LP93" s="4" t="str">
        <f t="shared" si="112"/>
        <v/>
      </c>
      <c r="LQ93" s="4" t="str">
        <f t="shared" si="113"/>
        <v/>
      </c>
      <c r="LR93" s="4" t="str">
        <f t="shared" si="114"/>
        <v/>
      </c>
      <c r="LS93" s="4" t="str">
        <f t="shared" si="115"/>
        <v/>
      </c>
      <c r="LT93" s="4" t="str">
        <f t="shared" si="116"/>
        <v/>
      </c>
      <c r="LU93" s="4" t="str">
        <f t="shared" si="117"/>
        <v/>
      </c>
      <c r="LV93" s="4" t="str">
        <f t="shared" si="118"/>
        <v/>
      </c>
      <c r="LW93" s="4" t="str">
        <f t="shared" si="119"/>
        <v/>
      </c>
      <c r="LX93" s="4" t="str">
        <f t="shared" si="120"/>
        <v/>
      </c>
      <c r="LY93" s="4" t="str">
        <f t="shared" si="121"/>
        <v/>
      </c>
      <c r="LZ93" s="4" t="str">
        <f t="shared" si="122"/>
        <v/>
      </c>
      <c r="MA93" s="4" t="str">
        <f t="shared" si="123"/>
        <v/>
      </c>
      <c r="MB93" s="4" t="str">
        <f t="shared" si="124"/>
        <v/>
      </c>
      <c r="MC93" s="4" t="str">
        <f t="shared" si="125"/>
        <v/>
      </c>
      <c r="MD93" s="4" t="str">
        <f t="shared" si="126"/>
        <v/>
      </c>
      <c r="ME93" s="4" t="str">
        <f t="shared" si="127"/>
        <v/>
      </c>
      <c r="MF93" s="4" t="str">
        <f t="shared" si="128"/>
        <v/>
      </c>
      <c r="MG93" s="4" t="str">
        <f t="shared" si="129"/>
        <v/>
      </c>
      <c r="MH93" s="4" t="str">
        <f t="shared" si="130"/>
        <v/>
      </c>
      <c r="MI93" s="4" t="str">
        <f t="shared" si="131"/>
        <v/>
      </c>
      <c r="MJ93" s="4" t="str">
        <f t="shared" si="132"/>
        <v/>
      </c>
      <c r="MK93" s="4" t="str">
        <f t="shared" si="133"/>
        <v/>
      </c>
      <c r="ML93" s="4" t="str">
        <f t="shared" si="134"/>
        <v/>
      </c>
      <c r="MM93" s="4" t="str">
        <f t="shared" si="135"/>
        <v/>
      </c>
      <c r="MN93" s="4" t="str">
        <f t="shared" si="136"/>
        <v/>
      </c>
      <c r="MO93" s="4" t="str">
        <f t="shared" si="137"/>
        <v/>
      </c>
      <c r="MP93" s="4" t="str">
        <f t="shared" si="138"/>
        <v/>
      </c>
      <c r="MQ93" s="4" t="str">
        <f t="shared" si="139"/>
        <v/>
      </c>
      <c r="MR93" s="4" t="str">
        <f t="shared" si="140"/>
        <v/>
      </c>
      <c r="MS93" s="4" t="str">
        <f t="shared" si="141"/>
        <v/>
      </c>
      <c r="MT93" s="4" t="str">
        <f t="shared" si="142"/>
        <v/>
      </c>
      <c r="MU93" s="4" t="str">
        <f t="shared" si="143"/>
        <v/>
      </c>
      <c r="MV93" s="4" t="str">
        <f t="shared" si="144"/>
        <v/>
      </c>
      <c r="MW93" s="4" t="str">
        <f t="shared" si="145"/>
        <v/>
      </c>
      <c r="MX93" s="4" t="str">
        <f t="shared" si="146"/>
        <v/>
      </c>
      <c r="MY93" s="4" t="str">
        <f t="shared" si="147"/>
        <v/>
      </c>
      <c r="MZ93" s="4" t="str">
        <f t="shared" si="148"/>
        <v/>
      </c>
      <c r="NA93" s="4" t="str">
        <f t="shared" si="149"/>
        <v/>
      </c>
      <c r="NB93" s="4" t="str">
        <f t="shared" si="150"/>
        <v/>
      </c>
      <c r="NC93" s="4" t="str">
        <f t="shared" si="151"/>
        <v/>
      </c>
      <c r="ND93" s="4" t="str">
        <f t="shared" si="152"/>
        <v/>
      </c>
      <c r="NE93" s="4" t="str">
        <f t="shared" si="153"/>
        <v/>
      </c>
      <c r="NF93" s="4" t="str">
        <f t="shared" si="154"/>
        <v/>
      </c>
      <c r="NG93" s="4" t="str">
        <f t="shared" si="155"/>
        <v/>
      </c>
      <c r="NH93" s="4" t="str">
        <f t="shared" si="156"/>
        <v/>
      </c>
      <c r="NI93" s="4" t="str">
        <f t="shared" si="157"/>
        <v/>
      </c>
      <c r="NJ93" s="4" t="str">
        <f t="shared" si="158"/>
        <v/>
      </c>
      <c r="NK93" s="4" t="str">
        <f t="shared" si="159"/>
        <v/>
      </c>
      <c r="NL93" s="4" t="str">
        <f t="shared" si="160"/>
        <v/>
      </c>
      <c r="NM93" s="4" t="str">
        <f t="shared" si="161"/>
        <v/>
      </c>
      <c r="NN93" s="4" t="str">
        <f t="shared" si="162"/>
        <v/>
      </c>
      <c r="NO93" s="4" t="str">
        <f t="shared" si="163"/>
        <v/>
      </c>
      <c r="NP93" s="4" t="str">
        <f t="shared" si="164"/>
        <v/>
      </c>
      <c r="NQ93" s="4" t="str">
        <f t="shared" si="165"/>
        <v/>
      </c>
      <c r="NR93" s="4" t="str">
        <f t="shared" si="166"/>
        <v/>
      </c>
      <c r="NS93" s="4" t="str">
        <f t="shared" si="167"/>
        <v/>
      </c>
      <c r="NT93" s="4" t="str">
        <f t="shared" si="168"/>
        <v/>
      </c>
      <c r="NU93" s="4" t="str">
        <f t="shared" si="169"/>
        <v/>
      </c>
      <c r="NV93" s="4" t="str">
        <f t="shared" si="170"/>
        <v/>
      </c>
      <c r="NW93" s="4" t="str">
        <f t="shared" si="171"/>
        <v/>
      </c>
      <c r="NX93" s="4" t="str">
        <f t="shared" si="172"/>
        <v/>
      </c>
      <c r="NY93" s="4" t="str">
        <f t="shared" si="173"/>
        <v/>
      </c>
      <c r="NZ93" s="4" t="str">
        <f t="shared" si="174"/>
        <v/>
      </c>
      <c r="OA93" s="4" t="str">
        <f t="shared" si="175"/>
        <v/>
      </c>
      <c r="OB93" s="4" t="str">
        <f t="shared" si="176"/>
        <v/>
      </c>
      <c r="OC93" s="4" t="str">
        <f t="shared" si="177"/>
        <v/>
      </c>
      <c r="OD93" s="4" t="str">
        <f t="shared" si="178"/>
        <v/>
      </c>
      <c r="OE93" s="4" t="str">
        <f t="shared" si="179"/>
        <v/>
      </c>
      <c r="OF93" s="4" t="str">
        <f t="shared" si="180"/>
        <v/>
      </c>
      <c r="OG93" s="4" t="str">
        <f t="shared" si="181"/>
        <v/>
      </c>
      <c r="OH93" s="4" t="str">
        <f t="shared" si="182"/>
        <v/>
      </c>
      <c r="OI93" s="4" t="str">
        <f t="shared" si="183"/>
        <v/>
      </c>
      <c r="OJ93" s="4" t="str">
        <f t="shared" si="184"/>
        <v/>
      </c>
      <c r="OK93" s="4" t="str">
        <f t="shared" si="185"/>
        <v/>
      </c>
      <c r="OL93" s="4" t="str">
        <f t="shared" si="186"/>
        <v/>
      </c>
      <c r="OM93" s="4" t="str">
        <f t="shared" si="187"/>
        <v/>
      </c>
      <c r="ON93" s="4" t="str">
        <f t="shared" si="188"/>
        <v/>
      </c>
      <c r="OO93" s="4" t="str">
        <f t="shared" si="189"/>
        <v/>
      </c>
      <c r="OP93" s="4" t="str">
        <f t="shared" si="190"/>
        <v/>
      </c>
      <c r="OQ93" s="4" t="str">
        <f t="shared" si="191"/>
        <v/>
      </c>
      <c r="OR93" s="4" t="str">
        <f t="shared" si="192"/>
        <v/>
      </c>
      <c r="OS93" s="4" t="str">
        <f t="shared" si="193"/>
        <v/>
      </c>
      <c r="OT93" s="4" t="str">
        <f t="shared" si="194"/>
        <v/>
      </c>
      <c r="OU93" s="4" t="str">
        <f t="shared" si="195"/>
        <v/>
      </c>
      <c r="OV93" s="4" t="str">
        <f t="shared" si="196"/>
        <v/>
      </c>
      <c r="OW93" s="4" t="str">
        <f t="shared" si="197"/>
        <v/>
      </c>
      <c r="OX93" s="4" t="str">
        <f t="shared" si="198"/>
        <v/>
      </c>
      <c r="OY93" s="4" t="str">
        <f t="shared" si="199"/>
        <v/>
      </c>
      <c r="OZ93" s="4" t="str">
        <f t="shared" si="200"/>
        <v/>
      </c>
      <c r="PA93" s="4" t="str">
        <f t="shared" si="201"/>
        <v/>
      </c>
      <c r="PB93" s="4" t="str">
        <f t="shared" si="202"/>
        <v/>
      </c>
      <c r="PC93" s="4" t="str">
        <f t="shared" si="203"/>
        <v/>
      </c>
      <c r="PD93" s="4" t="str">
        <f t="shared" si="204"/>
        <v/>
      </c>
      <c r="PE93" s="4" t="str">
        <f t="shared" si="205"/>
        <v/>
      </c>
      <c r="PF93" s="4" t="str">
        <f t="shared" si="206"/>
        <v/>
      </c>
      <c r="PG93" s="4" t="str">
        <f t="shared" si="207"/>
        <v/>
      </c>
      <c r="PH93" s="4" t="str">
        <f t="shared" si="208"/>
        <v/>
      </c>
      <c r="PI93" s="4" t="str">
        <f t="shared" si="209"/>
        <v/>
      </c>
      <c r="PJ93" s="4" t="str">
        <f t="shared" si="210"/>
        <v/>
      </c>
      <c r="PK93" s="4" t="str">
        <f t="shared" si="211"/>
        <v/>
      </c>
      <c r="PL93" s="4" t="str">
        <f t="shared" si="212"/>
        <v/>
      </c>
      <c r="PM93" s="4" t="str">
        <f t="shared" si="213"/>
        <v/>
      </c>
      <c r="PN93" s="4" t="str">
        <f t="shared" si="214"/>
        <v/>
      </c>
      <c r="PO93" s="4" t="str">
        <f t="shared" si="215"/>
        <v/>
      </c>
      <c r="PP93" s="4" t="str">
        <f t="shared" si="216"/>
        <v/>
      </c>
      <c r="PQ93" s="4" t="str">
        <f t="shared" si="217"/>
        <v/>
      </c>
      <c r="PR93" s="4" t="str">
        <f t="shared" si="218"/>
        <v/>
      </c>
      <c r="PS93" s="4" t="str">
        <f t="shared" si="219"/>
        <v/>
      </c>
    </row>
    <row r="94">
      <c r="HI94" s="4" t="str">
        <f t="shared" si="2"/>
        <v/>
      </c>
      <c r="HJ94" s="4" t="str">
        <f t="shared" si="3"/>
        <v/>
      </c>
      <c r="HK94" s="4" t="str">
        <f t="shared" si="4"/>
        <v/>
      </c>
      <c r="HL94" s="4" t="str">
        <f t="shared" si="5"/>
        <v/>
      </c>
      <c r="HM94" s="4" t="str">
        <f t="shared" si="6"/>
        <v/>
      </c>
      <c r="HN94" s="4" t="str">
        <f t="shared" si="7"/>
        <v/>
      </c>
      <c r="HO94" s="4" t="str">
        <f t="shared" si="8"/>
        <v/>
      </c>
      <c r="HP94" s="4" t="str">
        <f t="shared" si="9"/>
        <v/>
      </c>
      <c r="HQ94" s="4" t="str">
        <f t="shared" si="10"/>
        <v/>
      </c>
      <c r="HR94" s="4" t="str">
        <f t="shared" si="11"/>
        <v/>
      </c>
      <c r="HS94" s="4" t="str">
        <f t="shared" si="12"/>
        <v/>
      </c>
      <c r="HT94" s="4" t="str">
        <f t="shared" si="13"/>
        <v/>
      </c>
      <c r="HU94" s="4" t="str">
        <f t="shared" si="14"/>
        <v/>
      </c>
      <c r="HV94" s="4" t="str">
        <f t="shared" si="15"/>
        <v/>
      </c>
      <c r="HW94" s="4" t="str">
        <f t="shared" si="16"/>
        <v/>
      </c>
      <c r="HX94" s="4" t="str">
        <f t="shared" si="17"/>
        <v/>
      </c>
      <c r="HY94" s="4" t="str">
        <f t="shared" si="18"/>
        <v/>
      </c>
      <c r="HZ94" s="4" t="str">
        <f t="shared" si="19"/>
        <v/>
      </c>
      <c r="IA94" s="4" t="str">
        <f t="shared" si="20"/>
        <v/>
      </c>
      <c r="IB94" s="4" t="str">
        <f t="shared" si="21"/>
        <v/>
      </c>
      <c r="IC94" s="4" t="str">
        <f t="shared" si="22"/>
        <v/>
      </c>
      <c r="ID94" s="4" t="str">
        <f t="shared" si="23"/>
        <v/>
      </c>
      <c r="IE94" s="4" t="str">
        <f t="shared" si="24"/>
        <v/>
      </c>
      <c r="IF94" s="4" t="str">
        <f t="shared" si="25"/>
        <v/>
      </c>
      <c r="IG94" s="4" t="str">
        <f t="shared" si="26"/>
        <v/>
      </c>
      <c r="IH94" s="4" t="str">
        <f t="shared" si="27"/>
        <v/>
      </c>
      <c r="II94" s="4" t="str">
        <f t="shared" si="28"/>
        <v/>
      </c>
      <c r="IJ94" s="4" t="str">
        <f t="shared" si="29"/>
        <v/>
      </c>
      <c r="IK94" s="4" t="str">
        <f t="shared" si="30"/>
        <v/>
      </c>
      <c r="IL94" s="4" t="str">
        <f t="shared" si="31"/>
        <v/>
      </c>
      <c r="IM94" s="4" t="str">
        <f t="shared" si="32"/>
        <v/>
      </c>
      <c r="IN94" s="4" t="str">
        <f t="shared" si="33"/>
        <v/>
      </c>
      <c r="IO94" s="4" t="str">
        <f t="shared" si="34"/>
        <v/>
      </c>
      <c r="IP94" s="4" t="str">
        <f t="shared" si="35"/>
        <v/>
      </c>
      <c r="IQ94" s="4" t="str">
        <f t="shared" si="36"/>
        <v/>
      </c>
      <c r="IR94" s="4" t="str">
        <f t="shared" si="37"/>
        <v/>
      </c>
      <c r="IS94" s="4" t="str">
        <f t="shared" si="38"/>
        <v/>
      </c>
      <c r="IT94" s="4" t="str">
        <f t="shared" si="39"/>
        <v/>
      </c>
      <c r="IU94" s="4" t="str">
        <f t="shared" si="40"/>
        <v/>
      </c>
      <c r="IV94" s="4" t="str">
        <f t="shared" si="41"/>
        <v/>
      </c>
      <c r="IW94" s="4" t="str">
        <f t="shared" si="42"/>
        <v/>
      </c>
      <c r="IX94" s="4" t="str">
        <f t="shared" si="43"/>
        <v/>
      </c>
      <c r="IY94" s="4" t="str">
        <f t="shared" si="44"/>
        <v/>
      </c>
      <c r="IZ94" s="4" t="str">
        <f t="shared" si="45"/>
        <v/>
      </c>
      <c r="JA94" s="4" t="str">
        <f t="shared" ref="JA94:JB94" si="310">if(ISERROR(SEARCH("Higher Education",BB94)),"","810")</f>
        <v/>
      </c>
      <c r="JB94" s="4" t="str">
        <f t="shared" si="310"/>
        <v/>
      </c>
      <c r="JC94" s="4" t="str">
        <f t="shared" si="47"/>
        <v/>
      </c>
      <c r="JD94" s="4" t="str">
        <f t="shared" si="48"/>
        <v/>
      </c>
      <c r="JE94" s="4" t="str">
        <f t="shared" si="49"/>
        <v/>
      </c>
      <c r="JF94" s="4" t="str">
        <f t="shared" si="50"/>
        <v/>
      </c>
      <c r="JG94" s="4" t="str">
        <f t="shared" si="51"/>
        <v/>
      </c>
      <c r="JH94" s="4" t="str">
        <f t="shared" si="52"/>
        <v/>
      </c>
      <c r="JI94" s="4" t="str">
        <f t="shared" si="53"/>
        <v/>
      </c>
      <c r="JJ94" s="4" t="str">
        <f t="shared" si="54"/>
        <v/>
      </c>
      <c r="JK94" s="4" t="str">
        <f t="shared" si="55"/>
        <v/>
      </c>
      <c r="JL94" s="4" t="str">
        <f t="shared" si="56"/>
        <v/>
      </c>
      <c r="JM94" s="4" t="str">
        <f t="shared" si="57"/>
        <v/>
      </c>
      <c r="JN94" s="4" t="str">
        <f t="shared" si="58"/>
        <v/>
      </c>
      <c r="JO94" s="4" t="str">
        <f t="shared" si="59"/>
        <v/>
      </c>
      <c r="JP94" s="4" t="str">
        <f t="shared" si="60"/>
        <v/>
      </c>
      <c r="JQ94" s="4" t="str">
        <f t="shared" si="61"/>
        <v/>
      </c>
      <c r="JR94" s="4" t="str">
        <f t="shared" si="62"/>
        <v/>
      </c>
      <c r="JS94" s="4" t="str">
        <f t="shared" si="63"/>
        <v/>
      </c>
      <c r="JT94" s="4" t="str">
        <f t="shared" si="64"/>
        <v/>
      </c>
      <c r="JU94" s="4" t="str">
        <f t="shared" si="65"/>
        <v/>
      </c>
      <c r="JV94" s="4" t="str">
        <f t="shared" si="66"/>
        <v/>
      </c>
      <c r="JW94" s="4" t="str">
        <f t="shared" si="67"/>
        <v/>
      </c>
      <c r="JX94" s="4" t="str">
        <f t="shared" si="68"/>
        <v/>
      </c>
      <c r="JY94" s="4" t="str">
        <f t="shared" si="69"/>
        <v/>
      </c>
      <c r="JZ94" s="4" t="str">
        <f t="shared" si="70"/>
        <v/>
      </c>
      <c r="KA94" s="4" t="str">
        <f t="shared" si="71"/>
        <v/>
      </c>
      <c r="KB94" s="4" t="str">
        <f t="shared" si="72"/>
        <v/>
      </c>
      <c r="KC94" s="4" t="str">
        <f t="shared" si="73"/>
        <v/>
      </c>
      <c r="KD94" s="4" t="str">
        <f t="shared" si="74"/>
        <v/>
      </c>
      <c r="KE94" s="4" t="str">
        <f t="shared" si="75"/>
        <v/>
      </c>
      <c r="KF94" s="4" t="str">
        <f t="shared" si="76"/>
        <v/>
      </c>
      <c r="KG94" s="4" t="str">
        <f t="shared" si="77"/>
        <v/>
      </c>
      <c r="KH94" s="4" t="str">
        <f t="shared" si="78"/>
        <v/>
      </c>
      <c r="KI94" s="4" t="str">
        <f t="shared" si="79"/>
        <v/>
      </c>
      <c r="KJ94" s="4" t="str">
        <f t="shared" si="80"/>
        <v/>
      </c>
      <c r="KK94" s="4" t="str">
        <f t="shared" si="81"/>
        <v/>
      </c>
      <c r="KL94" s="4" t="str">
        <f t="shared" si="82"/>
        <v/>
      </c>
      <c r="KM94" s="4" t="str">
        <f t="shared" si="83"/>
        <v/>
      </c>
      <c r="KN94" s="4" t="str">
        <f t="shared" si="84"/>
        <v/>
      </c>
      <c r="KO94" s="4" t="str">
        <f t="shared" si="85"/>
        <v/>
      </c>
      <c r="KP94" s="4" t="str">
        <f t="shared" si="86"/>
        <v/>
      </c>
      <c r="KQ94" s="4" t="str">
        <f t="shared" si="87"/>
        <v/>
      </c>
      <c r="KR94" s="4" t="str">
        <f t="shared" si="88"/>
        <v/>
      </c>
      <c r="KS94" s="4" t="str">
        <f t="shared" si="89"/>
        <v/>
      </c>
      <c r="KT94" s="4" t="str">
        <f t="shared" si="90"/>
        <v/>
      </c>
      <c r="KU94" s="4" t="str">
        <f t="shared" si="91"/>
        <v/>
      </c>
      <c r="KV94" s="4" t="str">
        <f t="shared" si="92"/>
        <v/>
      </c>
      <c r="KW94" s="4" t="str">
        <f t="shared" si="93"/>
        <v/>
      </c>
      <c r="KX94" s="4" t="str">
        <f t="shared" si="94"/>
        <v/>
      </c>
      <c r="KY94" s="4" t="str">
        <f t="shared" si="95"/>
        <v/>
      </c>
      <c r="KZ94" s="4" t="str">
        <f t="shared" si="96"/>
        <v/>
      </c>
      <c r="LA94" s="4" t="str">
        <f t="shared" si="97"/>
        <v/>
      </c>
      <c r="LB94" s="4" t="str">
        <f t="shared" si="98"/>
        <v/>
      </c>
      <c r="LC94" s="4" t="str">
        <f t="shared" si="99"/>
        <v/>
      </c>
      <c r="LD94" s="4" t="str">
        <f t="shared" si="100"/>
        <v/>
      </c>
      <c r="LE94" s="4" t="str">
        <f t="shared" si="101"/>
        <v/>
      </c>
      <c r="LF94" s="4" t="str">
        <f t="shared" si="102"/>
        <v/>
      </c>
      <c r="LG94" s="4" t="str">
        <f t="shared" si="103"/>
        <v/>
      </c>
      <c r="LH94" s="4" t="str">
        <f t="shared" si="104"/>
        <v/>
      </c>
      <c r="LI94" s="4" t="str">
        <f t="shared" si="105"/>
        <v/>
      </c>
      <c r="LJ94" s="4" t="str">
        <f t="shared" si="106"/>
        <v/>
      </c>
      <c r="LK94" s="4" t="str">
        <f t="shared" si="107"/>
        <v/>
      </c>
      <c r="LL94" s="4" t="str">
        <f t="shared" si="108"/>
        <v/>
      </c>
      <c r="LM94" s="4" t="str">
        <f t="shared" si="109"/>
        <v/>
      </c>
      <c r="LN94" s="4" t="str">
        <f t="shared" si="110"/>
        <v/>
      </c>
      <c r="LO94" s="4" t="str">
        <f t="shared" si="111"/>
        <v/>
      </c>
      <c r="LP94" s="4" t="str">
        <f t="shared" si="112"/>
        <v/>
      </c>
      <c r="LQ94" s="4" t="str">
        <f t="shared" si="113"/>
        <v/>
      </c>
      <c r="LR94" s="4" t="str">
        <f t="shared" si="114"/>
        <v/>
      </c>
      <c r="LS94" s="4" t="str">
        <f t="shared" si="115"/>
        <v/>
      </c>
      <c r="LT94" s="4" t="str">
        <f t="shared" si="116"/>
        <v/>
      </c>
      <c r="LU94" s="4" t="str">
        <f t="shared" si="117"/>
        <v/>
      </c>
      <c r="LV94" s="4" t="str">
        <f t="shared" si="118"/>
        <v/>
      </c>
      <c r="LW94" s="4" t="str">
        <f t="shared" si="119"/>
        <v/>
      </c>
      <c r="LX94" s="4" t="str">
        <f t="shared" si="120"/>
        <v/>
      </c>
      <c r="LY94" s="4" t="str">
        <f t="shared" si="121"/>
        <v/>
      </c>
      <c r="LZ94" s="4" t="str">
        <f t="shared" si="122"/>
        <v/>
      </c>
      <c r="MA94" s="4" t="str">
        <f t="shared" si="123"/>
        <v/>
      </c>
      <c r="MB94" s="4" t="str">
        <f t="shared" si="124"/>
        <v/>
      </c>
      <c r="MC94" s="4" t="str">
        <f t="shared" si="125"/>
        <v/>
      </c>
      <c r="MD94" s="4" t="str">
        <f t="shared" si="126"/>
        <v/>
      </c>
      <c r="ME94" s="4" t="str">
        <f t="shared" si="127"/>
        <v/>
      </c>
      <c r="MF94" s="4" t="str">
        <f t="shared" si="128"/>
        <v/>
      </c>
      <c r="MG94" s="4" t="str">
        <f t="shared" si="129"/>
        <v/>
      </c>
      <c r="MH94" s="4" t="str">
        <f t="shared" si="130"/>
        <v/>
      </c>
      <c r="MI94" s="4" t="str">
        <f t="shared" si="131"/>
        <v/>
      </c>
      <c r="MJ94" s="4" t="str">
        <f t="shared" si="132"/>
        <v/>
      </c>
      <c r="MK94" s="4" t="str">
        <f t="shared" si="133"/>
        <v/>
      </c>
      <c r="ML94" s="4" t="str">
        <f t="shared" si="134"/>
        <v/>
      </c>
      <c r="MM94" s="4" t="str">
        <f t="shared" si="135"/>
        <v/>
      </c>
      <c r="MN94" s="4" t="str">
        <f t="shared" si="136"/>
        <v/>
      </c>
      <c r="MO94" s="4" t="str">
        <f t="shared" si="137"/>
        <v/>
      </c>
      <c r="MP94" s="4" t="str">
        <f t="shared" si="138"/>
        <v/>
      </c>
      <c r="MQ94" s="4" t="str">
        <f t="shared" si="139"/>
        <v/>
      </c>
      <c r="MR94" s="4" t="str">
        <f t="shared" si="140"/>
        <v/>
      </c>
      <c r="MS94" s="4" t="str">
        <f t="shared" si="141"/>
        <v/>
      </c>
      <c r="MT94" s="4" t="str">
        <f t="shared" si="142"/>
        <v/>
      </c>
      <c r="MU94" s="4" t="str">
        <f t="shared" si="143"/>
        <v/>
      </c>
      <c r="MV94" s="4" t="str">
        <f t="shared" si="144"/>
        <v/>
      </c>
      <c r="MW94" s="4" t="str">
        <f t="shared" si="145"/>
        <v/>
      </c>
      <c r="MX94" s="4" t="str">
        <f t="shared" si="146"/>
        <v/>
      </c>
      <c r="MY94" s="4" t="str">
        <f t="shared" si="147"/>
        <v/>
      </c>
      <c r="MZ94" s="4" t="str">
        <f t="shared" si="148"/>
        <v/>
      </c>
      <c r="NA94" s="4" t="str">
        <f t="shared" si="149"/>
        <v/>
      </c>
      <c r="NB94" s="4" t="str">
        <f t="shared" si="150"/>
        <v/>
      </c>
      <c r="NC94" s="4" t="str">
        <f t="shared" si="151"/>
        <v/>
      </c>
      <c r="ND94" s="4" t="str">
        <f t="shared" si="152"/>
        <v/>
      </c>
      <c r="NE94" s="4" t="str">
        <f t="shared" si="153"/>
        <v/>
      </c>
      <c r="NF94" s="4" t="str">
        <f t="shared" si="154"/>
        <v/>
      </c>
      <c r="NG94" s="4" t="str">
        <f t="shared" si="155"/>
        <v/>
      </c>
      <c r="NH94" s="4" t="str">
        <f t="shared" si="156"/>
        <v/>
      </c>
      <c r="NI94" s="4" t="str">
        <f t="shared" si="157"/>
        <v/>
      </c>
      <c r="NJ94" s="4" t="str">
        <f t="shared" si="158"/>
        <v/>
      </c>
      <c r="NK94" s="4" t="str">
        <f t="shared" si="159"/>
        <v/>
      </c>
      <c r="NL94" s="4" t="str">
        <f t="shared" si="160"/>
        <v/>
      </c>
      <c r="NM94" s="4" t="str">
        <f t="shared" si="161"/>
        <v/>
      </c>
      <c r="NN94" s="4" t="str">
        <f t="shared" si="162"/>
        <v/>
      </c>
      <c r="NO94" s="4" t="str">
        <f t="shared" si="163"/>
        <v/>
      </c>
      <c r="NP94" s="4" t="str">
        <f t="shared" si="164"/>
        <v/>
      </c>
      <c r="NQ94" s="4" t="str">
        <f t="shared" si="165"/>
        <v/>
      </c>
      <c r="NR94" s="4" t="str">
        <f t="shared" si="166"/>
        <v/>
      </c>
      <c r="NS94" s="4" t="str">
        <f t="shared" si="167"/>
        <v/>
      </c>
      <c r="NT94" s="4" t="str">
        <f t="shared" si="168"/>
        <v/>
      </c>
      <c r="NU94" s="4" t="str">
        <f t="shared" si="169"/>
        <v/>
      </c>
      <c r="NV94" s="4" t="str">
        <f t="shared" si="170"/>
        <v/>
      </c>
      <c r="NW94" s="4" t="str">
        <f t="shared" si="171"/>
        <v/>
      </c>
      <c r="NX94" s="4" t="str">
        <f t="shared" si="172"/>
        <v/>
      </c>
      <c r="NY94" s="4" t="str">
        <f t="shared" si="173"/>
        <v/>
      </c>
      <c r="NZ94" s="4" t="str">
        <f t="shared" si="174"/>
        <v/>
      </c>
      <c r="OA94" s="4" t="str">
        <f t="shared" si="175"/>
        <v/>
      </c>
      <c r="OB94" s="4" t="str">
        <f t="shared" si="176"/>
        <v/>
      </c>
      <c r="OC94" s="4" t="str">
        <f t="shared" si="177"/>
        <v/>
      </c>
      <c r="OD94" s="4" t="str">
        <f t="shared" si="178"/>
        <v/>
      </c>
      <c r="OE94" s="4" t="str">
        <f t="shared" si="179"/>
        <v/>
      </c>
      <c r="OF94" s="4" t="str">
        <f t="shared" si="180"/>
        <v/>
      </c>
      <c r="OG94" s="4" t="str">
        <f t="shared" si="181"/>
        <v/>
      </c>
      <c r="OH94" s="4" t="str">
        <f t="shared" si="182"/>
        <v/>
      </c>
      <c r="OI94" s="4" t="str">
        <f t="shared" si="183"/>
        <v/>
      </c>
      <c r="OJ94" s="4" t="str">
        <f t="shared" si="184"/>
        <v/>
      </c>
      <c r="OK94" s="4" t="str">
        <f t="shared" si="185"/>
        <v/>
      </c>
      <c r="OL94" s="4" t="str">
        <f t="shared" si="186"/>
        <v/>
      </c>
      <c r="OM94" s="4" t="str">
        <f t="shared" si="187"/>
        <v/>
      </c>
      <c r="ON94" s="4" t="str">
        <f t="shared" si="188"/>
        <v/>
      </c>
      <c r="OO94" s="4" t="str">
        <f t="shared" si="189"/>
        <v/>
      </c>
      <c r="OP94" s="4" t="str">
        <f t="shared" si="190"/>
        <v/>
      </c>
      <c r="OQ94" s="4" t="str">
        <f t="shared" si="191"/>
        <v/>
      </c>
      <c r="OR94" s="4" t="str">
        <f t="shared" si="192"/>
        <v/>
      </c>
      <c r="OS94" s="4" t="str">
        <f t="shared" si="193"/>
        <v/>
      </c>
      <c r="OT94" s="4" t="str">
        <f t="shared" si="194"/>
        <v/>
      </c>
      <c r="OU94" s="4" t="str">
        <f t="shared" si="195"/>
        <v/>
      </c>
      <c r="OV94" s="4" t="str">
        <f t="shared" si="196"/>
        <v/>
      </c>
      <c r="OW94" s="4" t="str">
        <f t="shared" si="197"/>
        <v/>
      </c>
      <c r="OX94" s="4" t="str">
        <f t="shared" si="198"/>
        <v/>
      </c>
      <c r="OY94" s="4" t="str">
        <f t="shared" si="199"/>
        <v/>
      </c>
      <c r="OZ94" s="4" t="str">
        <f t="shared" si="200"/>
        <v/>
      </c>
      <c r="PA94" s="4" t="str">
        <f t="shared" si="201"/>
        <v/>
      </c>
      <c r="PB94" s="4" t="str">
        <f t="shared" si="202"/>
        <v/>
      </c>
      <c r="PC94" s="4" t="str">
        <f t="shared" si="203"/>
        <v/>
      </c>
      <c r="PD94" s="4" t="str">
        <f t="shared" si="204"/>
        <v/>
      </c>
      <c r="PE94" s="4" t="str">
        <f t="shared" si="205"/>
        <v/>
      </c>
      <c r="PF94" s="4" t="str">
        <f t="shared" si="206"/>
        <v/>
      </c>
      <c r="PG94" s="4" t="str">
        <f t="shared" si="207"/>
        <v/>
      </c>
      <c r="PH94" s="4" t="str">
        <f t="shared" si="208"/>
        <v/>
      </c>
      <c r="PI94" s="4" t="str">
        <f t="shared" si="209"/>
        <v/>
      </c>
      <c r="PJ94" s="4" t="str">
        <f t="shared" si="210"/>
        <v/>
      </c>
      <c r="PK94" s="4" t="str">
        <f t="shared" si="211"/>
        <v/>
      </c>
      <c r="PL94" s="4" t="str">
        <f t="shared" si="212"/>
        <v/>
      </c>
      <c r="PM94" s="4" t="str">
        <f t="shared" si="213"/>
        <v/>
      </c>
      <c r="PN94" s="4" t="str">
        <f t="shared" si="214"/>
        <v/>
      </c>
      <c r="PO94" s="4" t="str">
        <f t="shared" si="215"/>
        <v/>
      </c>
      <c r="PP94" s="4" t="str">
        <f t="shared" si="216"/>
        <v/>
      </c>
      <c r="PQ94" s="4" t="str">
        <f t="shared" si="217"/>
        <v/>
      </c>
      <c r="PR94" s="4" t="str">
        <f t="shared" si="218"/>
        <v/>
      </c>
      <c r="PS94" s="4" t="str">
        <f t="shared" si="219"/>
        <v/>
      </c>
    </row>
    <row r="95">
      <c r="HI95" s="4" t="str">
        <f t="shared" si="2"/>
        <v/>
      </c>
      <c r="HJ95" s="4" t="str">
        <f t="shared" si="3"/>
        <v/>
      </c>
      <c r="HK95" s="4" t="str">
        <f t="shared" si="4"/>
        <v/>
      </c>
      <c r="HL95" s="4" t="str">
        <f t="shared" si="5"/>
        <v/>
      </c>
      <c r="HM95" s="4" t="str">
        <f t="shared" si="6"/>
        <v/>
      </c>
      <c r="HN95" s="4" t="str">
        <f t="shared" si="7"/>
        <v/>
      </c>
      <c r="HO95" s="4" t="str">
        <f t="shared" si="8"/>
        <v/>
      </c>
      <c r="HP95" s="4" t="str">
        <f t="shared" si="9"/>
        <v/>
      </c>
      <c r="HQ95" s="4" t="str">
        <f t="shared" si="10"/>
        <v/>
      </c>
      <c r="HR95" s="4" t="str">
        <f t="shared" si="11"/>
        <v/>
      </c>
      <c r="HS95" s="4" t="str">
        <f t="shared" si="12"/>
        <v/>
      </c>
      <c r="HT95" s="4" t="str">
        <f t="shared" si="13"/>
        <v/>
      </c>
      <c r="HU95" s="4" t="str">
        <f t="shared" si="14"/>
        <v/>
      </c>
      <c r="HV95" s="4" t="str">
        <f t="shared" si="15"/>
        <v/>
      </c>
      <c r="HW95" s="4" t="str">
        <f t="shared" si="16"/>
        <v/>
      </c>
      <c r="HX95" s="4" t="str">
        <f t="shared" si="17"/>
        <v/>
      </c>
      <c r="HY95" s="4" t="str">
        <f t="shared" si="18"/>
        <v/>
      </c>
      <c r="HZ95" s="4" t="str">
        <f t="shared" si="19"/>
        <v/>
      </c>
      <c r="IA95" s="4" t="str">
        <f t="shared" si="20"/>
        <v/>
      </c>
      <c r="IB95" s="4" t="str">
        <f t="shared" si="21"/>
        <v/>
      </c>
      <c r="IC95" s="4" t="str">
        <f t="shared" si="22"/>
        <v/>
      </c>
      <c r="ID95" s="4" t="str">
        <f t="shared" si="23"/>
        <v/>
      </c>
      <c r="IE95" s="4" t="str">
        <f t="shared" si="24"/>
        <v/>
      </c>
      <c r="IF95" s="4" t="str">
        <f t="shared" si="25"/>
        <v/>
      </c>
      <c r="IG95" s="4" t="str">
        <f t="shared" si="26"/>
        <v/>
      </c>
      <c r="IH95" s="4" t="str">
        <f t="shared" si="27"/>
        <v/>
      </c>
      <c r="II95" s="4" t="str">
        <f t="shared" si="28"/>
        <v/>
      </c>
      <c r="IJ95" s="4" t="str">
        <f t="shared" si="29"/>
        <v/>
      </c>
      <c r="IK95" s="4" t="str">
        <f t="shared" si="30"/>
        <v/>
      </c>
      <c r="IL95" s="4" t="str">
        <f t="shared" si="31"/>
        <v/>
      </c>
      <c r="IM95" s="4" t="str">
        <f t="shared" si="32"/>
        <v/>
      </c>
      <c r="IN95" s="4" t="str">
        <f t="shared" si="33"/>
        <v/>
      </c>
      <c r="IO95" s="4" t="str">
        <f t="shared" si="34"/>
        <v/>
      </c>
      <c r="IP95" s="4" t="str">
        <f t="shared" si="35"/>
        <v/>
      </c>
      <c r="IQ95" s="4" t="str">
        <f t="shared" si="36"/>
        <v/>
      </c>
      <c r="IR95" s="4" t="str">
        <f t="shared" si="37"/>
        <v/>
      </c>
      <c r="IS95" s="4" t="str">
        <f t="shared" si="38"/>
        <v/>
      </c>
      <c r="IT95" s="4" t="str">
        <f t="shared" si="39"/>
        <v/>
      </c>
      <c r="IU95" s="4" t="str">
        <f t="shared" si="40"/>
        <v/>
      </c>
      <c r="IV95" s="4" t="str">
        <f t="shared" si="41"/>
        <v/>
      </c>
      <c r="IW95" s="4" t="str">
        <f t="shared" si="42"/>
        <v/>
      </c>
      <c r="IX95" s="4" t="str">
        <f t="shared" si="43"/>
        <v/>
      </c>
      <c r="IY95" s="4" t="str">
        <f t="shared" si="44"/>
        <v/>
      </c>
      <c r="IZ95" s="4" t="str">
        <f t="shared" si="45"/>
        <v/>
      </c>
      <c r="JA95" s="4" t="str">
        <f t="shared" ref="JA95:JB95" si="311">if(ISERROR(SEARCH("Higher Education",BB95)),"","810")</f>
        <v/>
      </c>
      <c r="JB95" s="4" t="str">
        <f t="shared" si="311"/>
        <v/>
      </c>
      <c r="JC95" s="4" t="str">
        <f t="shared" si="47"/>
        <v/>
      </c>
      <c r="JD95" s="4" t="str">
        <f t="shared" si="48"/>
        <v/>
      </c>
      <c r="JE95" s="4" t="str">
        <f t="shared" si="49"/>
        <v/>
      </c>
      <c r="JF95" s="4" t="str">
        <f t="shared" si="50"/>
        <v/>
      </c>
      <c r="JG95" s="4" t="str">
        <f t="shared" si="51"/>
        <v/>
      </c>
      <c r="JH95" s="4" t="str">
        <f t="shared" si="52"/>
        <v/>
      </c>
      <c r="JI95" s="4" t="str">
        <f t="shared" si="53"/>
        <v/>
      </c>
      <c r="JJ95" s="4" t="str">
        <f t="shared" si="54"/>
        <v/>
      </c>
      <c r="JK95" s="4" t="str">
        <f t="shared" si="55"/>
        <v/>
      </c>
      <c r="JL95" s="4" t="str">
        <f t="shared" si="56"/>
        <v/>
      </c>
      <c r="JM95" s="4" t="str">
        <f t="shared" si="57"/>
        <v/>
      </c>
      <c r="JN95" s="4" t="str">
        <f t="shared" si="58"/>
        <v/>
      </c>
      <c r="JO95" s="4" t="str">
        <f t="shared" si="59"/>
        <v/>
      </c>
      <c r="JP95" s="4" t="str">
        <f t="shared" si="60"/>
        <v/>
      </c>
      <c r="JQ95" s="4" t="str">
        <f t="shared" si="61"/>
        <v/>
      </c>
      <c r="JR95" s="4" t="str">
        <f t="shared" si="62"/>
        <v/>
      </c>
      <c r="JS95" s="4" t="str">
        <f t="shared" si="63"/>
        <v/>
      </c>
      <c r="JT95" s="4" t="str">
        <f t="shared" si="64"/>
        <v/>
      </c>
      <c r="JU95" s="4" t="str">
        <f t="shared" si="65"/>
        <v/>
      </c>
      <c r="JV95" s="4" t="str">
        <f t="shared" si="66"/>
        <v/>
      </c>
      <c r="JW95" s="4" t="str">
        <f t="shared" si="67"/>
        <v/>
      </c>
      <c r="JX95" s="4" t="str">
        <f t="shared" si="68"/>
        <v/>
      </c>
      <c r="JY95" s="4" t="str">
        <f t="shared" si="69"/>
        <v/>
      </c>
      <c r="JZ95" s="4" t="str">
        <f t="shared" si="70"/>
        <v/>
      </c>
      <c r="KA95" s="4" t="str">
        <f t="shared" si="71"/>
        <v/>
      </c>
      <c r="KB95" s="4" t="str">
        <f t="shared" si="72"/>
        <v/>
      </c>
      <c r="KC95" s="4" t="str">
        <f t="shared" si="73"/>
        <v/>
      </c>
      <c r="KD95" s="4" t="str">
        <f t="shared" si="74"/>
        <v/>
      </c>
      <c r="KE95" s="4" t="str">
        <f t="shared" si="75"/>
        <v/>
      </c>
      <c r="KF95" s="4" t="str">
        <f t="shared" si="76"/>
        <v/>
      </c>
      <c r="KG95" s="4" t="str">
        <f t="shared" si="77"/>
        <v/>
      </c>
      <c r="KH95" s="4" t="str">
        <f t="shared" si="78"/>
        <v/>
      </c>
      <c r="KI95" s="4" t="str">
        <f t="shared" si="79"/>
        <v/>
      </c>
      <c r="KJ95" s="4" t="str">
        <f t="shared" si="80"/>
        <v/>
      </c>
      <c r="KK95" s="4" t="str">
        <f t="shared" si="81"/>
        <v/>
      </c>
      <c r="KL95" s="4" t="str">
        <f t="shared" si="82"/>
        <v/>
      </c>
      <c r="KM95" s="4" t="str">
        <f t="shared" si="83"/>
        <v/>
      </c>
      <c r="KN95" s="4" t="str">
        <f t="shared" si="84"/>
        <v/>
      </c>
      <c r="KO95" s="4" t="str">
        <f t="shared" si="85"/>
        <v/>
      </c>
      <c r="KP95" s="4" t="str">
        <f t="shared" si="86"/>
        <v/>
      </c>
      <c r="KQ95" s="4" t="str">
        <f t="shared" si="87"/>
        <v/>
      </c>
      <c r="KR95" s="4" t="str">
        <f t="shared" si="88"/>
        <v/>
      </c>
      <c r="KS95" s="4" t="str">
        <f t="shared" si="89"/>
        <v/>
      </c>
      <c r="KT95" s="4" t="str">
        <f t="shared" si="90"/>
        <v/>
      </c>
      <c r="KU95" s="4" t="str">
        <f t="shared" si="91"/>
        <v/>
      </c>
      <c r="KV95" s="4" t="str">
        <f t="shared" si="92"/>
        <v/>
      </c>
      <c r="KW95" s="4" t="str">
        <f t="shared" si="93"/>
        <v/>
      </c>
      <c r="KX95" s="4" t="str">
        <f t="shared" si="94"/>
        <v/>
      </c>
      <c r="KY95" s="4" t="str">
        <f t="shared" si="95"/>
        <v/>
      </c>
      <c r="KZ95" s="4" t="str">
        <f t="shared" si="96"/>
        <v/>
      </c>
      <c r="LA95" s="4" t="str">
        <f t="shared" si="97"/>
        <v/>
      </c>
      <c r="LB95" s="4" t="str">
        <f t="shared" si="98"/>
        <v/>
      </c>
      <c r="LC95" s="4" t="str">
        <f t="shared" si="99"/>
        <v/>
      </c>
      <c r="LD95" s="4" t="str">
        <f t="shared" si="100"/>
        <v/>
      </c>
      <c r="LE95" s="4" t="str">
        <f t="shared" si="101"/>
        <v/>
      </c>
      <c r="LF95" s="4" t="str">
        <f t="shared" si="102"/>
        <v/>
      </c>
      <c r="LG95" s="4" t="str">
        <f t="shared" si="103"/>
        <v/>
      </c>
      <c r="LH95" s="4" t="str">
        <f t="shared" si="104"/>
        <v/>
      </c>
      <c r="LI95" s="4" t="str">
        <f t="shared" si="105"/>
        <v/>
      </c>
      <c r="LJ95" s="4" t="str">
        <f t="shared" si="106"/>
        <v/>
      </c>
      <c r="LK95" s="4" t="str">
        <f t="shared" si="107"/>
        <v/>
      </c>
      <c r="LL95" s="4" t="str">
        <f t="shared" si="108"/>
        <v/>
      </c>
      <c r="LM95" s="4" t="str">
        <f t="shared" si="109"/>
        <v/>
      </c>
      <c r="LN95" s="4" t="str">
        <f t="shared" si="110"/>
        <v/>
      </c>
      <c r="LO95" s="4" t="str">
        <f t="shared" si="111"/>
        <v/>
      </c>
      <c r="LP95" s="4" t="str">
        <f t="shared" si="112"/>
        <v/>
      </c>
      <c r="LQ95" s="4" t="str">
        <f t="shared" si="113"/>
        <v/>
      </c>
      <c r="LR95" s="4" t="str">
        <f t="shared" si="114"/>
        <v/>
      </c>
      <c r="LS95" s="4" t="str">
        <f t="shared" si="115"/>
        <v/>
      </c>
      <c r="LT95" s="4" t="str">
        <f t="shared" si="116"/>
        <v/>
      </c>
      <c r="LU95" s="4" t="str">
        <f t="shared" si="117"/>
        <v/>
      </c>
      <c r="LV95" s="4" t="str">
        <f t="shared" si="118"/>
        <v/>
      </c>
      <c r="LW95" s="4" t="str">
        <f t="shared" si="119"/>
        <v/>
      </c>
      <c r="LX95" s="4" t="str">
        <f t="shared" si="120"/>
        <v/>
      </c>
      <c r="LY95" s="4" t="str">
        <f t="shared" si="121"/>
        <v/>
      </c>
      <c r="LZ95" s="4" t="str">
        <f t="shared" si="122"/>
        <v/>
      </c>
      <c r="MA95" s="4" t="str">
        <f t="shared" si="123"/>
        <v/>
      </c>
      <c r="MB95" s="4" t="str">
        <f t="shared" si="124"/>
        <v/>
      </c>
      <c r="MC95" s="4" t="str">
        <f t="shared" si="125"/>
        <v/>
      </c>
      <c r="MD95" s="4" t="str">
        <f t="shared" si="126"/>
        <v/>
      </c>
      <c r="ME95" s="4" t="str">
        <f t="shared" si="127"/>
        <v/>
      </c>
      <c r="MF95" s="4" t="str">
        <f t="shared" si="128"/>
        <v/>
      </c>
      <c r="MG95" s="4" t="str">
        <f t="shared" si="129"/>
        <v/>
      </c>
      <c r="MH95" s="4" t="str">
        <f t="shared" si="130"/>
        <v/>
      </c>
      <c r="MI95" s="4" t="str">
        <f t="shared" si="131"/>
        <v/>
      </c>
      <c r="MJ95" s="4" t="str">
        <f t="shared" si="132"/>
        <v/>
      </c>
      <c r="MK95" s="4" t="str">
        <f t="shared" si="133"/>
        <v/>
      </c>
      <c r="ML95" s="4" t="str">
        <f t="shared" si="134"/>
        <v/>
      </c>
      <c r="MM95" s="4" t="str">
        <f t="shared" si="135"/>
        <v/>
      </c>
      <c r="MN95" s="4" t="str">
        <f t="shared" si="136"/>
        <v/>
      </c>
      <c r="MO95" s="4" t="str">
        <f t="shared" si="137"/>
        <v/>
      </c>
      <c r="MP95" s="4" t="str">
        <f t="shared" si="138"/>
        <v/>
      </c>
      <c r="MQ95" s="4" t="str">
        <f t="shared" si="139"/>
        <v/>
      </c>
      <c r="MR95" s="4" t="str">
        <f t="shared" si="140"/>
        <v/>
      </c>
      <c r="MS95" s="4" t="str">
        <f t="shared" si="141"/>
        <v/>
      </c>
      <c r="MT95" s="4" t="str">
        <f t="shared" si="142"/>
        <v/>
      </c>
      <c r="MU95" s="4" t="str">
        <f t="shared" si="143"/>
        <v/>
      </c>
      <c r="MV95" s="4" t="str">
        <f t="shared" si="144"/>
        <v/>
      </c>
      <c r="MW95" s="4" t="str">
        <f t="shared" si="145"/>
        <v/>
      </c>
      <c r="MX95" s="4" t="str">
        <f t="shared" si="146"/>
        <v/>
      </c>
      <c r="MY95" s="4" t="str">
        <f t="shared" si="147"/>
        <v/>
      </c>
      <c r="MZ95" s="4" t="str">
        <f t="shared" si="148"/>
        <v/>
      </c>
      <c r="NA95" s="4" t="str">
        <f t="shared" si="149"/>
        <v/>
      </c>
      <c r="NB95" s="4" t="str">
        <f t="shared" si="150"/>
        <v/>
      </c>
      <c r="NC95" s="4" t="str">
        <f t="shared" si="151"/>
        <v/>
      </c>
      <c r="ND95" s="4" t="str">
        <f t="shared" si="152"/>
        <v/>
      </c>
      <c r="NE95" s="4" t="str">
        <f t="shared" si="153"/>
        <v/>
      </c>
      <c r="NF95" s="4" t="str">
        <f t="shared" si="154"/>
        <v/>
      </c>
      <c r="NG95" s="4" t="str">
        <f t="shared" si="155"/>
        <v/>
      </c>
      <c r="NH95" s="4" t="str">
        <f t="shared" si="156"/>
        <v/>
      </c>
      <c r="NI95" s="4" t="str">
        <f t="shared" si="157"/>
        <v/>
      </c>
      <c r="NJ95" s="4" t="str">
        <f t="shared" si="158"/>
        <v/>
      </c>
      <c r="NK95" s="4" t="str">
        <f t="shared" si="159"/>
        <v/>
      </c>
      <c r="NL95" s="4" t="str">
        <f t="shared" si="160"/>
        <v/>
      </c>
      <c r="NM95" s="4" t="str">
        <f t="shared" si="161"/>
        <v/>
      </c>
      <c r="NN95" s="4" t="str">
        <f t="shared" si="162"/>
        <v/>
      </c>
      <c r="NO95" s="4" t="str">
        <f t="shared" si="163"/>
        <v/>
      </c>
      <c r="NP95" s="4" t="str">
        <f t="shared" si="164"/>
        <v/>
      </c>
      <c r="NQ95" s="4" t="str">
        <f t="shared" si="165"/>
        <v/>
      </c>
      <c r="NR95" s="4" t="str">
        <f t="shared" si="166"/>
        <v/>
      </c>
      <c r="NS95" s="4" t="str">
        <f t="shared" si="167"/>
        <v/>
      </c>
      <c r="NT95" s="4" t="str">
        <f t="shared" si="168"/>
        <v/>
      </c>
      <c r="NU95" s="4" t="str">
        <f t="shared" si="169"/>
        <v/>
      </c>
      <c r="NV95" s="4" t="str">
        <f t="shared" si="170"/>
        <v/>
      </c>
      <c r="NW95" s="4" t="str">
        <f t="shared" si="171"/>
        <v/>
      </c>
      <c r="NX95" s="4" t="str">
        <f t="shared" si="172"/>
        <v/>
      </c>
      <c r="NY95" s="4" t="str">
        <f t="shared" si="173"/>
        <v/>
      </c>
      <c r="NZ95" s="4" t="str">
        <f t="shared" si="174"/>
        <v/>
      </c>
      <c r="OA95" s="4" t="str">
        <f t="shared" si="175"/>
        <v/>
      </c>
      <c r="OB95" s="4" t="str">
        <f t="shared" si="176"/>
        <v/>
      </c>
      <c r="OC95" s="4" t="str">
        <f t="shared" si="177"/>
        <v/>
      </c>
      <c r="OD95" s="4" t="str">
        <f t="shared" si="178"/>
        <v/>
      </c>
      <c r="OE95" s="4" t="str">
        <f t="shared" si="179"/>
        <v/>
      </c>
      <c r="OF95" s="4" t="str">
        <f t="shared" si="180"/>
        <v/>
      </c>
      <c r="OG95" s="4" t="str">
        <f t="shared" si="181"/>
        <v/>
      </c>
      <c r="OH95" s="4" t="str">
        <f t="shared" si="182"/>
        <v/>
      </c>
      <c r="OI95" s="4" t="str">
        <f t="shared" si="183"/>
        <v/>
      </c>
      <c r="OJ95" s="4" t="str">
        <f t="shared" si="184"/>
        <v/>
      </c>
      <c r="OK95" s="4" t="str">
        <f t="shared" si="185"/>
        <v/>
      </c>
      <c r="OL95" s="4" t="str">
        <f t="shared" si="186"/>
        <v/>
      </c>
      <c r="OM95" s="4" t="str">
        <f t="shared" si="187"/>
        <v/>
      </c>
      <c r="ON95" s="4" t="str">
        <f t="shared" si="188"/>
        <v/>
      </c>
      <c r="OO95" s="4" t="str">
        <f t="shared" si="189"/>
        <v/>
      </c>
      <c r="OP95" s="4" t="str">
        <f t="shared" si="190"/>
        <v/>
      </c>
      <c r="OQ95" s="4" t="str">
        <f t="shared" si="191"/>
        <v/>
      </c>
      <c r="OR95" s="4" t="str">
        <f t="shared" si="192"/>
        <v/>
      </c>
      <c r="OS95" s="4" t="str">
        <f t="shared" si="193"/>
        <v/>
      </c>
      <c r="OT95" s="4" t="str">
        <f t="shared" si="194"/>
        <v/>
      </c>
      <c r="OU95" s="4" t="str">
        <f t="shared" si="195"/>
        <v/>
      </c>
      <c r="OV95" s="4" t="str">
        <f t="shared" si="196"/>
        <v/>
      </c>
      <c r="OW95" s="4" t="str">
        <f t="shared" si="197"/>
        <v/>
      </c>
      <c r="OX95" s="4" t="str">
        <f t="shared" si="198"/>
        <v/>
      </c>
      <c r="OY95" s="4" t="str">
        <f t="shared" si="199"/>
        <v/>
      </c>
      <c r="OZ95" s="4" t="str">
        <f t="shared" si="200"/>
        <v/>
      </c>
      <c r="PA95" s="4" t="str">
        <f t="shared" si="201"/>
        <v/>
      </c>
      <c r="PB95" s="4" t="str">
        <f t="shared" si="202"/>
        <v/>
      </c>
      <c r="PC95" s="4" t="str">
        <f t="shared" si="203"/>
        <v/>
      </c>
      <c r="PD95" s="4" t="str">
        <f t="shared" si="204"/>
        <v/>
      </c>
      <c r="PE95" s="4" t="str">
        <f t="shared" si="205"/>
        <v/>
      </c>
      <c r="PF95" s="4" t="str">
        <f t="shared" si="206"/>
        <v/>
      </c>
      <c r="PG95" s="4" t="str">
        <f t="shared" si="207"/>
        <v/>
      </c>
      <c r="PH95" s="4" t="str">
        <f t="shared" si="208"/>
        <v/>
      </c>
      <c r="PI95" s="4" t="str">
        <f t="shared" si="209"/>
        <v/>
      </c>
      <c r="PJ95" s="4" t="str">
        <f t="shared" si="210"/>
        <v/>
      </c>
      <c r="PK95" s="4" t="str">
        <f t="shared" si="211"/>
        <v/>
      </c>
      <c r="PL95" s="4" t="str">
        <f t="shared" si="212"/>
        <v/>
      </c>
      <c r="PM95" s="4" t="str">
        <f t="shared" si="213"/>
        <v/>
      </c>
      <c r="PN95" s="4" t="str">
        <f t="shared" si="214"/>
        <v/>
      </c>
      <c r="PO95" s="4" t="str">
        <f t="shared" si="215"/>
        <v/>
      </c>
      <c r="PP95" s="4" t="str">
        <f t="shared" si="216"/>
        <v/>
      </c>
      <c r="PQ95" s="4" t="str">
        <f t="shared" si="217"/>
        <v/>
      </c>
      <c r="PR95" s="4" t="str">
        <f t="shared" si="218"/>
        <v/>
      </c>
      <c r="PS95" s="4" t="str">
        <f t="shared" si="219"/>
        <v/>
      </c>
    </row>
    <row r="96">
      <c r="HI96" s="4" t="str">
        <f t="shared" si="2"/>
        <v/>
      </c>
      <c r="HJ96" s="4" t="str">
        <f t="shared" si="3"/>
        <v/>
      </c>
      <c r="HK96" s="4" t="str">
        <f t="shared" si="4"/>
        <v/>
      </c>
      <c r="HL96" s="4" t="str">
        <f t="shared" si="5"/>
        <v/>
      </c>
      <c r="HM96" s="4" t="str">
        <f t="shared" si="6"/>
        <v/>
      </c>
      <c r="HN96" s="4" t="str">
        <f t="shared" si="7"/>
        <v/>
      </c>
      <c r="HO96" s="4" t="str">
        <f t="shared" si="8"/>
        <v/>
      </c>
      <c r="HP96" s="4" t="str">
        <f t="shared" si="9"/>
        <v/>
      </c>
      <c r="HQ96" s="4" t="str">
        <f t="shared" si="10"/>
        <v/>
      </c>
      <c r="HR96" s="4" t="str">
        <f t="shared" si="11"/>
        <v/>
      </c>
      <c r="HS96" s="4" t="str">
        <f t="shared" si="12"/>
        <v/>
      </c>
      <c r="HT96" s="4" t="str">
        <f t="shared" si="13"/>
        <v/>
      </c>
      <c r="HU96" s="4" t="str">
        <f t="shared" si="14"/>
        <v/>
      </c>
      <c r="HV96" s="4" t="str">
        <f t="shared" si="15"/>
        <v/>
      </c>
      <c r="HW96" s="4" t="str">
        <f t="shared" si="16"/>
        <v/>
      </c>
      <c r="HX96" s="4" t="str">
        <f t="shared" si="17"/>
        <v/>
      </c>
      <c r="HY96" s="4" t="str">
        <f t="shared" si="18"/>
        <v/>
      </c>
      <c r="HZ96" s="4" t="str">
        <f t="shared" si="19"/>
        <v/>
      </c>
      <c r="IA96" s="4" t="str">
        <f t="shared" si="20"/>
        <v/>
      </c>
      <c r="IB96" s="4" t="str">
        <f t="shared" si="21"/>
        <v/>
      </c>
      <c r="IC96" s="4" t="str">
        <f t="shared" si="22"/>
        <v/>
      </c>
      <c r="ID96" s="4" t="str">
        <f t="shared" si="23"/>
        <v/>
      </c>
      <c r="IE96" s="4" t="str">
        <f t="shared" si="24"/>
        <v/>
      </c>
      <c r="IF96" s="4" t="str">
        <f t="shared" si="25"/>
        <v/>
      </c>
      <c r="IG96" s="4" t="str">
        <f t="shared" si="26"/>
        <v/>
      </c>
      <c r="IH96" s="4" t="str">
        <f t="shared" si="27"/>
        <v/>
      </c>
      <c r="II96" s="4" t="str">
        <f t="shared" si="28"/>
        <v/>
      </c>
      <c r="IJ96" s="4" t="str">
        <f t="shared" si="29"/>
        <v/>
      </c>
      <c r="IK96" s="4" t="str">
        <f t="shared" si="30"/>
        <v/>
      </c>
      <c r="IL96" s="4" t="str">
        <f t="shared" si="31"/>
        <v/>
      </c>
      <c r="IM96" s="4" t="str">
        <f t="shared" si="32"/>
        <v/>
      </c>
      <c r="IN96" s="4" t="str">
        <f t="shared" si="33"/>
        <v/>
      </c>
      <c r="IO96" s="4" t="str">
        <f t="shared" si="34"/>
        <v/>
      </c>
      <c r="IP96" s="4" t="str">
        <f t="shared" si="35"/>
        <v/>
      </c>
      <c r="IQ96" s="4" t="str">
        <f t="shared" si="36"/>
        <v/>
      </c>
      <c r="IR96" s="4" t="str">
        <f t="shared" si="37"/>
        <v/>
      </c>
      <c r="IS96" s="4" t="str">
        <f t="shared" si="38"/>
        <v/>
      </c>
      <c r="IT96" s="4" t="str">
        <f t="shared" si="39"/>
        <v/>
      </c>
      <c r="IU96" s="4" t="str">
        <f t="shared" si="40"/>
        <v/>
      </c>
      <c r="IV96" s="4" t="str">
        <f t="shared" si="41"/>
        <v/>
      </c>
      <c r="IW96" s="4" t="str">
        <f t="shared" si="42"/>
        <v/>
      </c>
      <c r="IX96" s="4" t="str">
        <f t="shared" si="43"/>
        <v/>
      </c>
      <c r="IY96" s="4" t="str">
        <f t="shared" si="44"/>
        <v/>
      </c>
      <c r="IZ96" s="4" t="str">
        <f t="shared" si="45"/>
        <v/>
      </c>
      <c r="JA96" s="4" t="str">
        <f t="shared" ref="JA96:JB96" si="312">if(ISERROR(SEARCH("Higher Education",BB96)),"","810")</f>
        <v/>
      </c>
      <c r="JB96" s="4" t="str">
        <f t="shared" si="312"/>
        <v/>
      </c>
      <c r="JC96" s="4" t="str">
        <f t="shared" si="47"/>
        <v/>
      </c>
      <c r="JD96" s="4" t="str">
        <f t="shared" si="48"/>
        <v/>
      </c>
      <c r="JE96" s="4" t="str">
        <f t="shared" si="49"/>
        <v/>
      </c>
      <c r="JF96" s="4" t="str">
        <f t="shared" si="50"/>
        <v/>
      </c>
      <c r="JG96" s="4" t="str">
        <f t="shared" si="51"/>
        <v/>
      </c>
      <c r="JH96" s="4" t="str">
        <f t="shared" si="52"/>
        <v/>
      </c>
      <c r="JI96" s="4" t="str">
        <f t="shared" si="53"/>
        <v/>
      </c>
      <c r="JJ96" s="4" t="str">
        <f t="shared" si="54"/>
        <v/>
      </c>
      <c r="JK96" s="4" t="str">
        <f t="shared" si="55"/>
        <v/>
      </c>
      <c r="JL96" s="4" t="str">
        <f t="shared" si="56"/>
        <v/>
      </c>
      <c r="JM96" s="4" t="str">
        <f t="shared" si="57"/>
        <v/>
      </c>
      <c r="JN96" s="4" t="str">
        <f t="shared" si="58"/>
        <v/>
      </c>
      <c r="JO96" s="4" t="str">
        <f t="shared" si="59"/>
        <v/>
      </c>
      <c r="JP96" s="4" t="str">
        <f t="shared" si="60"/>
        <v/>
      </c>
      <c r="JQ96" s="4" t="str">
        <f t="shared" si="61"/>
        <v/>
      </c>
      <c r="JR96" s="4" t="str">
        <f t="shared" si="62"/>
        <v/>
      </c>
      <c r="JS96" s="4" t="str">
        <f t="shared" si="63"/>
        <v/>
      </c>
      <c r="JT96" s="4" t="str">
        <f t="shared" si="64"/>
        <v/>
      </c>
      <c r="JU96" s="4" t="str">
        <f t="shared" si="65"/>
        <v/>
      </c>
      <c r="JV96" s="4" t="str">
        <f t="shared" si="66"/>
        <v/>
      </c>
      <c r="JW96" s="4" t="str">
        <f t="shared" si="67"/>
        <v/>
      </c>
      <c r="JX96" s="4" t="str">
        <f t="shared" si="68"/>
        <v/>
      </c>
      <c r="JY96" s="4" t="str">
        <f t="shared" si="69"/>
        <v/>
      </c>
      <c r="JZ96" s="4" t="str">
        <f t="shared" si="70"/>
        <v/>
      </c>
      <c r="KA96" s="4" t="str">
        <f t="shared" si="71"/>
        <v/>
      </c>
      <c r="KB96" s="4" t="str">
        <f t="shared" si="72"/>
        <v/>
      </c>
      <c r="KC96" s="4" t="str">
        <f t="shared" si="73"/>
        <v/>
      </c>
      <c r="KD96" s="4" t="str">
        <f t="shared" si="74"/>
        <v/>
      </c>
      <c r="KE96" s="4" t="str">
        <f t="shared" si="75"/>
        <v/>
      </c>
      <c r="KF96" s="4" t="str">
        <f t="shared" si="76"/>
        <v/>
      </c>
      <c r="KG96" s="4" t="str">
        <f t="shared" si="77"/>
        <v/>
      </c>
      <c r="KH96" s="4" t="str">
        <f t="shared" si="78"/>
        <v/>
      </c>
      <c r="KI96" s="4" t="str">
        <f t="shared" si="79"/>
        <v/>
      </c>
      <c r="KJ96" s="4" t="str">
        <f t="shared" si="80"/>
        <v/>
      </c>
      <c r="KK96" s="4" t="str">
        <f t="shared" si="81"/>
        <v/>
      </c>
      <c r="KL96" s="4" t="str">
        <f t="shared" si="82"/>
        <v/>
      </c>
      <c r="KM96" s="4" t="str">
        <f t="shared" si="83"/>
        <v/>
      </c>
      <c r="KN96" s="4" t="str">
        <f t="shared" si="84"/>
        <v/>
      </c>
      <c r="KO96" s="4" t="str">
        <f t="shared" si="85"/>
        <v/>
      </c>
      <c r="KP96" s="4" t="str">
        <f t="shared" si="86"/>
        <v/>
      </c>
      <c r="KQ96" s="4" t="str">
        <f t="shared" si="87"/>
        <v/>
      </c>
      <c r="KR96" s="4" t="str">
        <f t="shared" si="88"/>
        <v/>
      </c>
      <c r="KS96" s="4" t="str">
        <f t="shared" si="89"/>
        <v/>
      </c>
      <c r="KT96" s="4" t="str">
        <f t="shared" si="90"/>
        <v/>
      </c>
      <c r="KU96" s="4" t="str">
        <f t="shared" si="91"/>
        <v/>
      </c>
      <c r="KV96" s="4" t="str">
        <f t="shared" si="92"/>
        <v/>
      </c>
      <c r="KW96" s="4" t="str">
        <f t="shared" si="93"/>
        <v/>
      </c>
      <c r="KX96" s="4" t="str">
        <f t="shared" si="94"/>
        <v/>
      </c>
      <c r="KY96" s="4" t="str">
        <f t="shared" si="95"/>
        <v/>
      </c>
      <c r="KZ96" s="4" t="str">
        <f t="shared" si="96"/>
        <v/>
      </c>
      <c r="LA96" s="4" t="str">
        <f t="shared" si="97"/>
        <v/>
      </c>
      <c r="LB96" s="4" t="str">
        <f t="shared" si="98"/>
        <v/>
      </c>
      <c r="LC96" s="4" t="str">
        <f t="shared" si="99"/>
        <v/>
      </c>
      <c r="LD96" s="4" t="str">
        <f t="shared" si="100"/>
        <v/>
      </c>
      <c r="LE96" s="4" t="str">
        <f t="shared" si="101"/>
        <v/>
      </c>
      <c r="LF96" s="4" t="str">
        <f t="shared" si="102"/>
        <v/>
      </c>
      <c r="LG96" s="4" t="str">
        <f t="shared" si="103"/>
        <v/>
      </c>
      <c r="LH96" s="4" t="str">
        <f t="shared" si="104"/>
        <v/>
      </c>
      <c r="LI96" s="4" t="str">
        <f t="shared" si="105"/>
        <v/>
      </c>
      <c r="LJ96" s="4" t="str">
        <f t="shared" si="106"/>
        <v/>
      </c>
      <c r="LK96" s="4" t="str">
        <f t="shared" si="107"/>
        <v/>
      </c>
      <c r="LL96" s="4" t="str">
        <f t="shared" si="108"/>
        <v/>
      </c>
      <c r="LM96" s="4" t="str">
        <f t="shared" si="109"/>
        <v/>
      </c>
      <c r="LN96" s="4" t="str">
        <f t="shared" si="110"/>
        <v/>
      </c>
      <c r="LO96" s="4" t="str">
        <f t="shared" si="111"/>
        <v/>
      </c>
      <c r="LP96" s="4" t="str">
        <f t="shared" si="112"/>
        <v/>
      </c>
      <c r="LQ96" s="4" t="str">
        <f t="shared" si="113"/>
        <v/>
      </c>
      <c r="LR96" s="4" t="str">
        <f t="shared" si="114"/>
        <v/>
      </c>
      <c r="LS96" s="4" t="str">
        <f t="shared" si="115"/>
        <v/>
      </c>
      <c r="LT96" s="4" t="str">
        <f t="shared" si="116"/>
        <v/>
      </c>
      <c r="LU96" s="4" t="str">
        <f t="shared" si="117"/>
        <v/>
      </c>
      <c r="LV96" s="4" t="str">
        <f t="shared" si="118"/>
        <v/>
      </c>
      <c r="LW96" s="4" t="str">
        <f t="shared" si="119"/>
        <v/>
      </c>
      <c r="LX96" s="4" t="str">
        <f t="shared" si="120"/>
        <v/>
      </c>
      <c r="LY96" s="4" t="str">
        <f t="shared" si="121"/>
        <v/>
      </c>
      <c r="LZ96" s="4" t="str">
        <f t="shared" si="122"/>
        <v/>
      </c>
      <c r="MA96" s="4" t="str">
        <f t="shared" si="123"/>
        <v/>
      </c>
      <c r="MB96" s="4" t="str">
        <f t="shared" si="124"/>
        <v/>
      </c>
      <c r="MC96" s="4" t="str">
        <f t="shared" si="125"/>
        <v/>
      </c>
      <c r="MD96" s="4" t="str">
        <f t="shared" si="126"/>
        <v/>
      </c>
      <c r="ME96" s="4" t="str">
        <f t="shared" si="127"/>
        <v/>
      </c>
      <c r="MF96" s="4" t="str">
        <f t="shared" si="128"/>
        <v/>
      </c>
      <c r="MG96" s="4" t="str">
        <f t="shared" si="129"/>
        <v/>
      </c>
      <c r="MH96" s="4" t="str">
        <f t="shared" si="130"/>
        <v/>
      </c>
      <c r="MI96" s="4" t="str">
        <f t="shared" si="131"/>
        <v/>
      </c>
      <c r="MJ96" s="4" t="str">
        <f t="shared" si="132"/>
        <v/>
      </c>
      <c r="MK96" s="4" t="str">
        <f t="shared" si="133"/>
        <v/>
      </c>
      <c r="ML96" s="4" t="str">
        <f t="shared" si="134"/>
        <v/>
      </c>
      <c r="MM96" s="4" t="str">
        <f t="shared" si="135"/>
        <v/>
      </c>
      <c r="MN96" s="4" t="str">
        <f t="shared" si="136"/>
        <v/>
      </c>
      <c r="MO96" s="4" t="str">
        <f t="shared" si="137"/>
        <v/>
      </c>
      <c r="MP96" s="4" t="str">
        <f t="shared" si="138"/>
        <v/>
      </c>
      <c r="MQ96" s="4" t="str">
        <f t="shared" si="139"/>
        <v/>
      </c>
      <c r="MR96" s="4" t="str">
        <f t="shared" si="140"/>
        <v/>
      </c>
      <c r="MS96" s="4" t="str">
        <f t="shared" si="141"/>
        <v/>
      </c>
      <c r="MT96" s="4" t="str">
        <f t="shared" si="142"/>
        <v/>
      </c>
      <c r="MU96" s="4" t="str">
        <f t="shared" si="143"/>
        <v/>
      </c>
      <c r="MV96" s="4" t="str">
        <f t="shared" si="144"/>
        <v/>
      </c>
      <c r="MW96" s="4" t="str">
        <f t="shared" si="145"/>
        <v/>
      </c>
      <c r="MX96" s="4" t="str">
        <f t="shared" si="146"/>
        <v/>
      </c>
      <c r="MY96" s="4" t="str">
        <f t="shared" si="147"/>
        <v/>
      </c>
      <c r="MZ96" s="4" t="str">
        <f t="shared" si="148"/>
        <v/>
      </c>
      <c r="NA96" s="4" t="str">
        <f t="shared" si="149"/>
        <v/>
      </c>
      <c r="NB96" s="4" t="str">
        <f t="shared" si="150"/>
        <v/>
      </c>
      <c r="NC96" s="4" t="str">
        <f t="shared" si="151"/>
        <v/>
      </c>
      <c r="ND96" s="4" t="str">
        <f t="shared" si="152"/>
        <v/>
      </c>
      <c r="NE96" s="4" t="str">
        <f t="shared" si="153"/>
        <v/>
      </c>
      <c r="NF96" s="4" t="str">
        <f t="shared" si="154"/>
        <v/>
      </c>
      <c r="NG96" s="4" t="str">
        <f t="shared" si="155"/>
        <v/>
      </c>
      <c r="NH96" s="4" t="str">
        <f t="shared" si="156"/>
        <v/>
      </c>
      <c r="NI96" s="4" t="str">
        <f t="shared" si="157"/>
        <v/>
      </c>
      <c r="NJ96" s="4" t="str">
        <f t="shared" si="158"/>
        <v/>
      </c>
      <c r="NK96" s="4" t="str">
        <f t="shared" si="159"/>
        <v/>
      </c>
      <c r="NL96" s="4" t="str">
        <f t="shared" si="160"/>
        <v/>
      </c>
      <c r="NM96" s="4" t="str">
        <f t="shared" si="161"/>
        <v/>
      </c>
      <c r="NN96" s="4" t="str">
        <f t="shared" si="162"/>
        <v/>
      </c>
      <c r="NO96" s="4" t="str">
        <f t="shared" si="163"/>
        <v/>
      </c>
      <c r="NP96" s="4" t="str">
        <f t="shared" si="164"/>
        <v/>
      </c>
      <c r="NQ96" s="4" t="str">
        <f t="shared" si="165"/>
        <v/>
      </c>
      <c r="NR96" s="4" t="str">
        <f t="shared" si="166"/>
        <v/>
      </c>
      <c r="NS96" s="4" t="str">
        <f t="shared" si="167"/>
        <v/>
      </c>
      <c r="NT96" s="4" t="str">
        <f t="shared" si="168"/>
        <v/>
      </c>
      <c r="NU96" s="4" t="str">
        <f t="shared" si="169"/>
        <v/>
      </c>
      <c r="NV96" s="4" t="str">
        <f t="shared" si="170"/>
        <v/>
      </c>
      <c r="NW96" s="4" t="str">
        <f t="shared" si="171"/>
        <v/>
      </c>
      <c r="NX96" s="4" t="str">
        <f t="shared" si="172"/>
        <v/>
      </c>
      <c r="NY96" s="4" t="str">
        <f t="shared" si="173"/>
        <v/>
      </c>
      <c r="NZ96" s="4" t="str">
        <f t="shared" si="174"/>
        <v/>
      </c>
      <c r="OA96" s="4" t="str">
        <f t="shared" si="175"/>
        <v/>
      </c>
      <c r="OB96" s="4" t="str">
        <f t="shared" si="176"/>
        <v/>
      </c>
      <c r="OC96" s="4" t="str">
        <f t="shared" si="177"/>
        <v/>
      </c>
      <c r="OD96" s="4" t="str">
        <f t="shared" si="178"/>
        <v/>
      </c>
      <c r="OE96" s="4" t="str">
        <f t="shared" si="179"/>
        <v/>
      </c>
      <c r="OF96" s="4" t="str">
        <f t="shared" si="180"/>
        <v/>
      </c>
      <c r="OG96" s="4" t="str">
        <f t="shared" si="181"/>
        <v/>
      </c>
      <c r="OH96" s="4" t="str">
        <f t="shared" si="182"/>
        <v/>
      </c>
      <c r="OI96" s="4" t="str">
        <f t="shared" si="183"/>
        <v/>
      </c>
      <c r="OJ96" s="4" t="str">
        <f t="shared" si="184"/>
        <v/>
      </c>
      <c r="OK96" s="4" t="str">
        <f t="shared" si="185"/>
        <v/>
      </c>
      <c r="OL96" s="4" t="str">
        <f t="shared" si="186"/>
        <v/>
      </c>
      <c r="OM96" s="4" t="str">
        <f t="shared" si="187"/>
        <v/>
      </c>
      <c r="ON96" s="4" t="str">
        <f t="shared" si="188"/>
        <v/>
      </c>
      <c r="OO96" s="4" t="str">
        <f t="shared" si="189"/>
        <v/>
      </c>
      <c r="OP96" s="4" t="str">
        <f t="shared" si="190"/>
        <v/>
      </c>
      <c r="OQ96" s="4" t="str">
        <f t="shared" si="191"/>
        <v/>
      </c>
      <c r="OR96" s="4" t="str">
        <f t="shared" si="192"/>
        <v/>
      </c>
      <c r="OS96" s="4" t="str">
        <f t="shared" si="193"/>
        <v/>
      </c>
      <c r="OT96" s="4" t="str">
        <f t="shared" si="194"/>
        <v/>
      </c>
      <c r="OU96" s="4" t="str">
        <f t="shared" si="195"/>
        <v/>
      </c>
      <c r="OV96" s="4" t="str">
        <f t="shared" si="196"/>
        <v/>
      </c>
      <c r="OW96" s="4" t="str">
        <f t="shared" si="197"/>
        <v/>
      </c>
      <c r="OX96" s="4" t="str">
        <f t="shared" si="198"/>
        <v/>
      </c>
      <c r="OY96" s="4" t="str">
        <f t="shared" si="199"/>
        <v/>
      </c>
      <c r="OZ96" s="4" t="str">
        <f t="shared" si="200"/>
        <v/>
      </c>
      <c r="PA96" s="4" t="str">
        <f t="shared" si="201"/>
        <v/>
      </c>
      <c r="PB96" s="4" t="str">
        <f t="shared" si="202"/>
        <v/>
      </c>
      <c r="PC96" s="4" t="str">
        <f t="shared" si="203"/>
        <v/>
      </c>
      <c r="PD96" s="4" t="str">
        <f t="shared" si="204"/>
        <v/>
      </c>
      <c r="PE96" s="4" t="str">
        <f t="shared" si="205"/>
        <v/>
      </c>
      <c r="PF96" s="4" t="str">
        <f t="shared" si="206"/>
        <v/>
      </c>
      <c r="PG96" s="4" t="str">
        <f t="shared" si="207"/>
        <v/>
      </c>
      <c r="PH96" s="4" t="str">
        <f t="shared" si="208"/>
        <v/>
      </c>
      <c r="PI96" s="4" t="str">
        <f t="shared" si="209"/>
        <v/>
      </c>
      <c r="PJ96" s="4" t="str">
        <f t="shared" si="210"/>
        <v/>
      </c>
      <c r="PK96" s="4" t="str">
        <f t="shared" si="211"/>
        <v/>
      </c>
      <c r="PL96" s="4" t="str">
        <f t="shared" si="212"/>
        <v/>
      </c>
      <c r="PM96" s="4" t="str">
        <f t="shared" si="213"/>
        <v/>
      </c>
      <c r="PN96" s="4" t="str">
        <f t="shared" si="214"/>
        <v/>
      </c>
      <c r="PO96" s="4" t="str">
        <f t="shared" si="215"/>
        <v/>
      </c>
      <c r="PP96" s="4" t="str">
        <f t="shared" si="216"/>
        <v/>
      </c>
      <c r="PQ96" s="4" t="str">
        <f t="shared" si="217"/>
        <v/>
      </c>
      <c r="PR96" s="4" t="str">
        <f t="shared" si="218"/>
        <v/>
      </c>
      <c r="PS96" s="4" t="str">
        <f t="shared" si="219"/>
        <v/>
      </c>
    </row>
    <row r="97">
      <c r="HI97" s="4" t="str">
        <f t="shared" si="2"/>
        <v/>
      </c>
      <c r="HJ97" s="4" t="str">
        <f t="shared" si="3"/>
        <v/>
      </c>
      <c r="HK97" s="4" t="str">
        <f t="shared" si="4"/>
        <v/>
      </c>
      <c r="HL97" s="4" t="str">
        <f t="shared" si="5"/>
        <v/>
      </c>
      <c r="HM97" s="4" t="str">
        <f t="shared" si="6"/>
        <v/>
      </c>
      <c r="HN97" s="4" t="str">
        <f t="shared" si="7"/>
        <v/>
      </c>
      <c r="HO97" s="4" t="str">
        <f t="shared" si="8"/>
        <v/>
      </c>
      <c r="HP97" s="4" t="str">
        <f t="shared" si="9"/>
        <v/>
      </c>
      <c r="HQ97" s="4" t="str">
        <f t="shared" si="10"/>
        <v/>
      </c>
      <c r="HR97" s="4" t="str">
        <f t="shared" si="11"/>
        <v/>
      </c>
      <c r="HS97" s="4" t="str">
        <f t="shared" si="12"/>
        <v/>
      </c>
      <c r="HT97" s="4" t="str">
        <f t="shared" si="13"/>
        <v/>
      </c>
      <c r="HU97" s="4" t="str">
        <f t="shared" si="14"/>
        <v/>
      </c>
      <c r="HV97" s="4" t="str">
        <f t="shared" si="15"/>
        <v/>
      </c>
      <c r="HW97" s="4" t="str">
        <f t="shared" si="16"/>
        <v/>
      </c>
      <c r="HX97" s="4" t="str">
        <f t="shared" si="17"/>
        <v/>
      </c>
      <c r="HY97" s="4" t="str">
        <f t="shared" si="18"/>
        <v/>
      </c>
      <c r="HZ97" s="4" t="str">
        <f t="shared" si="19"/>
        <v/>
      </c>
      <c r="IA97" s="4" t="str">
        <f t="shared" si="20"/>
        <v/>
      </c>
      <c r="IB97" s="4" t="str">
        <f t="shared" si="21"/>
        <v/>
      </c>
      <c r="IC97" s="4" t="str">
        <f t="shared" si="22"/>
        <v/>
      </c>
      <c r="ID97" s="4" t="str">
        <f t="shared" si="23"/>
        <v/>
      </c>
      <c r="IE97" s="4" t="str">
        <f t="shared" si="24"/>
        <v/>
      </c>
      <c r="IF97" s="4" t="str">
        <f t="shared" si="25"/>
        <v/>
      </c>
      <c r="IG97" s="4" t="str">
        <f t="shared" si="26"/>
        <v/>
      </c>
      <c r="IH97" s="4" t="str">
        <f t="shared" si="27"/>
        <v/>
      </c>
      <c r="II97" s="4" t="str">
        <f t="shared" si="28"/>
        <v/>
      </c>
      <c r="IJ97" s="4" t="str">
        <f t="shared" si="29"/>
        <v/>
      </c>
      <c r="IK97" s="4" t="str">
        <f t="shared" si="30"/>
        <v/>
      </c>
      <c r="IL97" s="4" t="str">
        <f t="shared" si="31"/>
        <v/>
      </c>
      <c r="IM97" s="4" t="str">
        <f t="shared" si="32"/>
        <v/>
      </c>
      <c r="IN97" s="4" t="str">
        <f t="shared" si="33"/>
        <v/>
      </c>
      <c r="IO97" s="4" t="str">
        <f t="shared" si="34"/>
        <v/>
      </c>
      <c r="IP97" s="4" t="str">
        <f t="shared" si="35"/>
        <v/>
      </c>
      <c r="IQ97" s="4" t="str">
        <f t="shared" si="36"/>
        <v/>
      </c>
      <c r="IR97" s="4" t="str">
        <f t="shared" si="37"/>
        <v/>
      </c>
      <c r="IS97" s="4" t="str">
        <f t="shared" si="38"/>
        <v/>
      </c>
      <c r="IT97" s="4" t="str">
        <f t="shared" si="39"/>
        <v/>
      </c>
      <c r="IU97" s="4" t="str">
        <f t="shared" si="40"/>
        <v/>
      </c>
      <c r="IV97" s="4" t="str">
        <f t="shared" si="41"/>
        <v/>
      </c>
      <c r="IW97" s="4" t="str">
        <f t="shared" si="42"/>
        <v/>
      </c>
      <c r="IX97" s="4" t="str">
        <f t="shared" si="43"/>
        <v/>
      </c>
      <c r="IY97" s="4" t="str">
        <f t="shared" si="44"/>
        <v/>
      </c>
      <c r="IZ97" s="4" t="str">
        <f t="shared" si="45"/>
        <v/>
      </c>
      <c r="JA97" s="4" t="str">
        <f t="shared" ref="JA97:JB97" si="313">if(ISERROR(SEARCH("Higher Education",BB97)),"","810")</f>
        <v/>
      </c>
      <c r="JB97" s="4" t="str">
        <f t="shared" si="313"/>
        <v/>
      </c>
      <c r="JC97" s="4" t="str">
        <f t="shared" si="47"/>
        <v/>
      </c>
      <c r="JD97" s="4" t="str">
        <f t="shared" si="48"/>
        <v/>
      </c>
      <c r="JE97" s="4" t="str">
        <f t="shared" si="49"/>
        <v/>
      </c>
      <c r="JF97" s="4" t="str">
        <f t="shared" si="50"/>
        <v/>
      </c>
      <c r="JG97" s="4" t="str">
        <f t="shared" si="51"/>
        <v/>
      </c>
      <c r="JH97" s="4" t="str">
        <f t="shared" si="52"/>
        <v/>
      </c>
      <c r="JI97" s="4" t="str">
        <f t="shared" si="53"/>
        <v/>
      </c>
      <c r="JJ97" s="4" t="str">
        <f t="shared" si="54"/>
        <v/>
      </c>
      <c r="JK97" s="4" t="str">
        <f t="shared" si="55"/>
        <v/>
      </c>
      <c r="JL97" s="4" t="str">
        <f t="shared" si="56"/>
        <v/>
      </c>
      <c r="JM97" s="4" t="str">
        <f t="shared" si="57"/>
        <v/>
      </c>
      <c r="JN97" s="4" t="str">
        <f t="shared" si="58"/>
        <v/>
      </c>
      <c r="JO97" s="4" t="str">
        <f t="shared" si="59"/>
        <v/>
      </c>
      <c r="JP97" s="4" t="str">
        <f t="shared" si="60"/>
        <v/>
      </c>
      <c r="JQ97" s="4" t="str">
        <f t="shared" si="61"/>
        <v/>
      </c>
      <c r="JR97" s="4" t="str">
        <f t="shared" si="62"/>
        <v/>
      </c>
      <c r="JS97" s="4" t="str">
        <f t="shared" si="63"/>
        <v/>
      </c>
      <c r="JT97" s="4" t="str">
        <f t="shared" si="64"/>
        <v/>
      </c>
      <c r="JU97" s="4" t="str">
        <f t="shared" si="65"/>
        <v/>
      </c>
      <c r="JV97" s="4" t="str">
        <f t="shared" si="66"/>
        <v/>
      </c>
      <c r="JW97" s="4" t="str">
        <f t="shared" si="67"/>
        <v/>
      </c>
      <c r="JX97" s="4" t="str">
        <f t="shared" si="68"/>
        <v/>
      </c>
      <c r="JY97" s="4" t="str">
        <f t="shared" si="69"/>
        <v/>
      </c>
      <c r="JZ97" s="4" t="str">
        <f t="shared" si="70"/>
        <v/>
      </c>
      <c r="KA97" s="4" t="str">
        <f t="shared" si="71"/>
        <v/>
      </c>
      <c r="KB97" s="4" t="str">
        <f t="shared" si="72"/>
        <v/>
      </c>
      <c r="KC97" s="4" t="str">
        <f t="shared" si="73"/>
        <v/>
      </c>
      <c r="KD97" s="4" t="str">
        <f t="shared" si="74"/>
        <v/>
      </c>
      <c r="KE97" s="4" t="str">
        <f t="shared" si="75"/>
        <v/>
      </c>
      <c r="KF97" s="4" t="str">
        <f t="shared" si="76"/>
        <v/>
      </c>
      <c r="KG97" s="4" t="str">
        <f t="shared" si="77"/>
        <v/>
      </c>
      <c r="KH97" s="4" t="str">
        <f t="shared" si="78"/>
        <v/>
      </c>
      <c r="KI97" s="4" t="str">
        <f t="shared" si="79"/>
        <v/>
      </c>
      <c r="KJ97" s="4" t="str">
        <f t="shared" si="80"/>
        <v/>
      </c>
      <c r="KK97" s="4" t="str">
        <f t="shared" si="81"/>
        <v/>
      </c>
      <c r="KL97" s="4" t="str">
        <f t="shared" si="82"/>
        <v/>
      </c>
      <c r="KM97" s="4" t="str">
        <f t="shared" si="83"/>
        <v/>
      </c>
      <c r="KN97" s="4" t="str">
        <f t="shared" si="84"/>
        <v/>
      </c>
      <c r="KO97" s="4" t="str">
        <f t="shared" si="85"/>
        <v/>
      </c>
      <c r="KP97" s="4" t="str">
        <f t="shared" si="86"/>
        <v/>
      </c>
      <c r="KQ97" s="4" t="str">
        <f t="shared" si="87"/>
        <v/>
      </c>
      <c r="KR97" s="4" t="str">
        <f t="shared" si="88"/>
        <v/>
      </c>
      <c r="KS97" s="4" t="str">
        <f t="shared" si="89"/>
        <v/>
      </c>
      <c r="KT97" s="4" t="str">
        <f t="shared" si="90"/>
        <v/>
      </c>
      <c r="KU97" s="4" t="str">
        <f t="shared" si="91"/>
        <v/>
      </c>
      <c r="KV97" s="4" t="str">
        <f t="shared" si="92"/>
        <v/>
      </c>
      <c r="KW97" s="4" t="str">
        <f t="shared" si="93"/>
        <v/>
      </c>
      <c r="KX97" s="4" t="str">
        <f t="shared" si="94"/>
        <v/>
      </c>
      <c r="KY97" s="4" t="str">
        <f t="shared" si="95"/>
        <v/>
      </c>
      <c r="KZ97" s="4" t="str">
        <f t="shared" si="96"/>
        <v/>
      </c>
      <c r="LA97" s="4" t="str">
        <f t="shared" si="97"/>
        <v/>
      </c>
      <c r="LB97" s="4" t="str">
        <f t="shared" si="98"/>
        <v/>
      </c>
      <c r="LC97" s="4" t="str">
        <f t="shared" si="99"/>
        <v/>
      </c>
      <c r="LD97" s="4" t="str">
        <f t="shared" si="100"/>
        <v/>
      </c>
      <c r="LE97" s="4" t="str">
        <f t="shared" si="101"/>
        <v/>
      </c>
      <c r="LF97" s="4" t="str">
        <f t="shared" si="102"/>
        <v/>
      </c>
      <c r="LG97" s="4" t="str">
        <f t="shared" si="103"/>
        <v/>
      </c>
      <c r="LH97" s="4" t="str">
        <f t="shared" si="104"/>
        <v/>
      </c>
      <c r="LI97" s="4" t="str">
        <f t="shared" si="105"/>
        <v/>
      </c>
      <c r="LJ97" s="4" t="str">
        <f t="shared" si="106"/>
        <v/>
      </c>
      <c r="LK97" s="4" t="str">
        <f t="shared" si="107"/>
        <v/>
      </c>
      <c r="LL97" s="4" t="str">
        <f t="shared" si="108"/>
        <v/>
      </c>
      <c r="LM97" s="4" t="str">
        <f t="shared" si="109"/>
        <v/>
      </c>
      <c r="LN97" s="4" t="str">
        <f t="shared" si="110"/>
        <v/>
      </c>
      <c r="LO97" s="4" t="str">
        <f t="shared" si="111"/>
        <v/>
      </c>
      <c r="LP97" s="4" t="str">
        <f t="shared" si="112"/>
        <v/>
      </c>
      <c r="LQ97" s="4" t="str">
        <f t="shared" si="113"/>
        <v/>
      </c>
      <c r="LR97" s="4" t="str">
        <f t="shared" si="114"/>
        <v/>
      </c>
      <c r="LS97" s="4" t="str">
        <f t="shared" si="115"/>
        <v/>
      </c>
      <c r="LT97" s="4" t="str">
        <f t="shared" si="116"/>
        <v/>
      </c>
      <c r="LU97" s="4" t="str">
        <f t="shared" si="117"/>
        <v/>
      </c>
      <c r="LV97" s="4" t="str">
        <f t="shared" si="118"/>
        <v/>
      </c>
      <c r="LW97" s="4" t="str">
        <f t="shared" si="119"/>
        <v/>
      </c>
      <c r="LX97" s="4" t="str">
        <f t="shared" si="120"/>
        <v/>
      </c>
      <c r="LY97" s="4" t="str">
        <f t="shared" si="121"/>
        <v/>
      </c>
      <c r="LZ97" s="4" t="str">
        <f t="shared" si="122"/>
        <v/>
      </c>
      <c r="MA97" s="4" t="str">
        <f t="shared" si="123"/>
        <v/>
      </c>
      <c r="MB97" s="4" t="str">
        <f t="shared" si="124"/>
        <v/>
      </c>
      <c r="MC97" s="4" t="str">
        <f t="shared" si="125"/>
        <v/>
      </c>
      <c r="MD97" s="4" t="str">
        <f t="shared" si="126"/>
        <v/>
      </c>
      <c r="ME97" s="4" t="str">
        <f t="shared" si="127"/>
        <v/>
      </c>
      <c r="MF97" s="4" t="str">
        <f t="shared" si="128"/>
        <v/>
      </c>
      <c r="MG97" s="4" t="str">
        <f t="shared" si="129"/>
        <v/>
      </c>
      <c r="MH97" s="4" t="str">
        <f t="shared" si="130"/>
        <v/>
      </c>
      <c r="MI97" s="4" t="str">
        <f t="shared" si="131"/>
        <v/>
      </c>
      <c r="MJ97" s="4" t="str">
        <f t="shared" si="132"/>
        <v/>
      </c>
      <c r="MK97" s="4" t="str">
        <f t="shared" si="133"/>
        <v/>
      </c>
      <c r="ML97" s="4" t="str">
        <f t="shared" si="134"/>
        <v/>
      </c>
      <c r="MM97" s="4" t="str">
        <f t="shared" si="135"/>
        <v/>
      </c>
      <c r="MN97" s="4" t="str">
        <f t="shared" si="136"/>
        <v/>
      </c>
      <c r="MO97" s="4" t="str">
        <f t="shared" si="137"/>
        <v/>
      </c>
      <c r="MP97" s="4" t="str">
        <f t="shared" si="138"/>
        <v/>
      </c>
      <c r="MQ97" s="4" t="str">
        <f t="shared" si="139"/>
        <v/>
      </c>
      <c r="MR97" s="4" t="str">
        <f t="shared" si="140"/>
        <v/>
      </c>
      <c r="MS97" s="4" t="str">
        <f t="shared" si="141"/>
        <v/>
      </c>
      <c r="MT97" s="4" t="str">
        <f t="shared" si="142"/>
        <v/>
      </c>
      <c r="MU97" s="4" t="str">
        <f t="shared" si="143"/>
        <v/>
      </c>
      <c r="MV97" s="4" t="str">
        <f t="shared" si="144"/>
        <v/>
      </c>
      <c r="MW97" s="4" t="str">
        <f t="shared" si="145"/>
        <v/>
      </c>
      <c r="MX97" s="4" t="str">
        <f t="shared" si="146"/>
        <v/>
      </c>
      <c r="MY97" s="4" t="str">
        <f t="shared" si="147"/>
        <v/>
      </c>
      <c r="MZ97" s="4" t="str">
        <f t="shared" si="148"/>
        <v/>
      </c>
      <c r="NA97" s="4" t="str">
        <f t="shared" si="149"/>
        <v/>
      </c>
      <c r="NB97" s="4" t="str">
        <f t="shared" si="150"/>
        <v/>
      </c>
      <c r="NC97" s="4" t="str">
        <f t="shared" si="151"/>
        <v/>
      </c>
      <c r="ND97" s="4" t="str">
        <f t="shared" si="152"/>
        <v/>
      </c>
      <c r="NE97" s="4" t="str">
        <f t="shared" si="153"/>
        <v/>
      </c>
      <c r="NF97" s="4" t="str">
        <f t="shared" si="154"/>
        <v/>
      </c>
      <c r="NG97" s="4" t="str">
        <f t="shared" si="155"/>
        <v/>
      </c>
      <c r="NH97" s="4" t="str">
        <f t="shared" si="156"/>
        <v/>
      </c>
      <c r="NI97" s="4" t="str">
        <f t="shared" si="157"/>
        <v/>
      </c>
      <c r="NJ97" s="4" t="str">
        <f t="shared" si="158"/>
        <v/>
      </c>
      <c r="NK97" s="4" t="str">
        <f t="shared" si="159"/>
        <v/>
      </c>
      <c r="NL97" s="4" t="str">
        <f t="shared" si="160"/>
        <v/>
      </c>
      <c r="NM97" s="4" t="str">
        <f t="shared" si="161"/>
        <v/>
      </c>
      <c r="NN97" s="4" t="str">
        <f t="shared" si="162"/>
        <v/>
      </c>
      <c r="NO97" s="4" t="str">
        <f t="shared" si="163"/>
        <v/>
      </c>
      <c r="NP97" s="4" t="str">
        <f t="shared" si="164"/>
        <v/>
      </c>
      <c r="NQ97" s="4" t="str">
        <f t="shared" si="165"/>
        <v/>
      </c>
      <c r="NR97" s="4" t="str">
        <f t="shared" si="166"/>
        <v/>
      </c>
      <c r="NS97" s="4" t="str">
        <f t="shared" si="167"/>
        <v/>
      </c>
      <c r="NT97" s="4" t="str">
        <f t="shared" si="168"/>
        <v/>
      </c>
      <c r="NU97" s="4" t="str">
        <f t="shared" si="169"/>
        <v/>
      </c>
      <c r="NV97" s="4" t="str">
        <f t="shared" si="170"/>
        <v/>
      </c>
      <c r="NW97" s="4" t="str">
        <f t="shared" si="171"/>
        <v/>
      </c>
      <c r="NX97" s="4" t="str">
        <f t="shared" si="172"/>
        <v/>
      </c>
      <c r="NY97" s="4" t="str">
        <f t="shared" si="173"/>
        <v/>
      </c>
      <c r="NZ97" s="4" t="str">
        <f t="shared" si="174"/>
        <v/>
      </c>
      <c r="OA97" s="4" t="str">
        <f t="shared" si="175"/>
        <v/>
      </c>
      <c r="OB97" s="4" t="str">
        <f t="shared" si="176"/>
        <v/>
      </c>
      <c r="OC97" s="4" t="str">
        <f t="shared" si="177"/>
        <v/>
      </c>
      <c r="OD97" s="4" t="str">
        <f t="shared" si="178"/>
        <v/>
      </c>
      <c r="OE97" s="4" t="str">
        <f t="shared" si="179"/>
        <v/>
      </c>
      <c r="OF97" s="4" t="str">
        <f t="shared" si="180"/>
        <v/>
      </c>
      <c r="OG97" s="4" t="str">
        <f t="shared" si="181"/>
        <v/>
      </c>
      <c r="OH97" s="4" t="str">
        <f t="shared" si="182"/>
        <v/>
      </c>
      <c r="OI97" s="4" t="str">
        <f t="shared" si="183"/>
        <v/>
      </c>
      <c r="OJ97" s="4" t="str">
        <f t="shared" si="184"/>
        <v/>
      </c>
      <c r="OK97" s="4" t="str">
        <f t="shared" si="185"/>
        <v/>
      </c>
      <c r="OL97" s="4" t="str">
        <f t="shared" si="186"/>
        <v/>
      </c>
      <c r="OM97" s="4" t="str">
        <f t="shared" si="187"/>
        <v/>
      </c>
      <c r="ON97" s="4" t="str">
        <f t="shared" si="188"/>
        <v/>
      </c>
      <c r="OO97" s="4" t="str">
        <f t="shared" si="189"/>
        <v/>
      </c>
      <c r="OP97" s="4" t="str">
        <f t="shared" si="190"/>
        <v/>
      </c>
      <c r="OQ97" s="4" t="str">
        <f t="shared" si="191"/>
        <v/>
      </c>
      <c r="OR97" s="4" t="str">
        <f t="shared" si="192"/>
        <v/>
      </c>
      <c r="OS97" s="4" t="str">
        <f t="shared" si="193"/>
        <v/>
      </c>
      <c r="OT97" s="4" t="str">
        <f t="shared" si="194"/>
        <v/>
      </c>
      <c r="OU97" s="4" t="str">
        <f t="shared" si="195"/>
        <v/>
      </c>
      <c r="OV97" s="4" t="str">
        <f t="shared" si="196"/>
        <v/>
      </c>
      <c r="OW97" s="4" t="str">
        <f t="shared" si="197"/>
        <v/>
      </c>
      <c r="OX97" s="4" t="str">
        <f t="shared" si="198"/>
        <v/>
      </c>
      <c r="OY97" s="4" t="str">
        <f t="shared" si="199"/>
        <v/>
      </c>
      <c r="OZ97" s="4" t="str">
        <f t="shared" si="200"/>
        <v/>
      </c>
      <c r="PA97" s="4" t="str">
        <f t="shared" si="201"/>
        <v/>
      </c>
      <c r="PB97" s="4" t="str">
        <f t="shared" si="202"/>
        <v/>
      </c>
      <c r="PC97" s="4" t="str">
        <f t="shared" si="203"/>
        <v/>
      </c>
      <c r="PD97" s="4" t="str">
        <f t="shared" si="204"/>
        <v/>
      </c>
      <c r="PE97" s="4" t="str">
        <f t="shared" si="205"/>
        <v/>
      </c>
      <c r="PF97" s="4" t="str">
        <f t="shared" si="206"/>
        <v/>
      </c>
      <c r="PG97" s="4" t="str">
        <f t="shared" si="207"/>
        <v/>
      </c>
      <c r="PH97" s="4" t="str">
        <f t="shared" si="208"/>
        <v/>
      </c>
      <c r="PI97" s="4" t="str">
        <f t="shared" si="209"/>
        <v/>
      </c>
      <c r="PJ97" s="4" t="str">
        <f t="shared" si="210"/>
        <v/>
      </c>
      <c r="PK97" s="4" t="str">
        <f t="shared" si="211"/>
        <v/>
      </c>
      <c r="PL97" s="4" t="str">
        <f t="shared" si="212"/>
        <v/>
      </c>
      <c r="PM97" s="4" t="str">
        <f t="shared" si="213"/>
        <v/>
      </c>
      <c r="PN97" s="4" t="str">
        <f t="shared" si="214"/>
        <v/>
      </c>
      <c r="PO97" s="4" t="str">
        <f t="shared" si="215"/>
        <v/>
      </c>
      <c r="PP97" s="4" t="str">
        <f t="shared" si="216"/>
        <v/>
      </c>
      <c r="PQ97" s="4" t="str">
        <f t="shared" si="217"/>
        <v/>
      </c>
      <c r="PR97" s="4" t="str">
        <f t="shared" si="218"/>
        <v/>
      </c>
      <c r="PS97" s="4" t="str">
        <f t="shared" si="219"/>
        <v/>
      </c>
    </row>
    <row r="98">
      <c r="HI98" s="4" t="str">
        <f t="shared" si="2"/>
        <v/>
      </c>
      <c r="HJ98" s="4" t="str">
        <f t="shared" si="3"/>
        <v/>
      </c>
      <c r="HK98" s="4" t="str">
        <f t="shared" si="4"/>
        <v/>
      </c>
      <c r="HL98" s="4" t="str">
        <f t="shared" si="5"/>
        <v/>
      </c>
      <c r="HM98" s="4" t="str">
        <f t="shared" si="6"/>
        <v/>
      </c>
      <c r="HN98" s="4" t="str">
        <f t="shared" si="7"/>
        <v/>
      </c>
      <c r="HO98" s="4" t="str">
        <f t="shared" si="8"/>
        <v/>
      </c>
      <c r="HP98" s="4" t="str">
        <f t="shared" si="9"/>
        <v/>
      </c>
      <c r="HQ98" s="4" t="str">
        <f t="shared" si="10"/>
        <v/>
      </c>
      <c r="HR98" s="4" t="str">
        <f t="shared" si="11"/>
        <v/>
      </c>
      <c r="HS98" s="4" t="str">
        <f t="shared" si="12"/>
        <v/>
      </c>
      <c r="HT98" s="4" t="str">
        <f t="shared" si="13"/>
        <v/>
      </c>
      <c r="HU98" s="4" t="str">
        <f t="shared" si="14"/>
        <v/>
      </c>
      <c r="HV98" s="4" t="str">
        <f t="shared" si="15"/>
        <v/>
      </c>
      <c r="HW98" s="4" t="str">
        <f t="shared" si="16"/>
        <v/>
      </c>
      <c r="HX98" s="4" t="str">
        <f t="shared" si="17"/>
        <v/>
      </c>
      <c r="HY98" s="4" t="str">
        <f t="shared" si="18"/>
        <v/>
      </c>
      <c r="HZ98" s="4" t="str">
        <f t="shared" si="19"/>
        <v/>
      </c>
      <c r="IA98" s="4" t="str">
        <f t="shared" si="20"/>
        <v/>
      </c>
      <c r="IB98" s="4" t="str">
        <f t="shared" si="21"/>
        <v/>
      </c>
      <c r="IC98" s="4" t="str">
        <f t="shared" si="22"/>
        <v/>
      </c>
      <c r="ID98" s="4" t="str">
        <f t="shared" si="23"/>
        <v/>
      </c>
      <c r="IE98" s="4" t="str">
        <f t="shared" si="24"/>
        <v/>
      </c>
      <c r="IF98" s="4" t="str">
        <f t="shared" si="25"/>
        <v/>
      </c>
      <c r="IG98" s="4" t="str">
        <f t="shared" si="26"/>
        <v/>
      </c>
      <c r="IH98" s="4" t="str">
        <f t="shared" si="27"/>
        <v/>
      </c>
      <c r="II98" s="4" t="str">
        <f t="shared" si="28"/>
        <v/>
      </c>
      <c r="IJ98" s="4" t="str">
        <f t="shared" si="29"/>
        <v/>
      </c>
      <c r="IK98" s="4" t="str">
        <f t="shared" si="30"/>
        <v/>
      </c>
      <c r="IL98" s="4" t="str">
        <f t="shared" si="31"/>
        <v/>
      </c>
      <c r="IM98" s="4" t="str">
        <f t="shared" si="32"/>
        <v/>
      </c>
      <c r="IN98" s="4" t="str">
        <f t="shared" si="33"/>
        <v/>
      </c>
      <c r="IO98" s="4" t="str">
        <f t="shared" si="34"/>
        <v/>
      </c>
      <c r="IP98" s="4" t="str">
        <f t="shared" si="35"/>
        <v/>
      </c>
      <c r="IQ98" s="4" t="str">
        <f t="shared" si="36"/>
        <v/>
      </c>
      <c r="IR98" s="4" t="str">
        <f t="shared" si="37"/>
        <v/>
      </c>
      <c r="IS98" s="4" t="str">
        <f t="shared" si="38"/>
        <v/>
      </c>
      <c r="IT98" s="4" t="str">
        <f t="shared" si="39"/>
        <v/>
      </c>
      <c r="IU98" s="4" t="str">
        <f t="shared" si="40"/>
        <v/>
      </c>
      <c r="IV98" s="4" t="str">
        <f t="shared" si="41"/>
        <v/>
      </c>
      <c r="IW98" s="4" t="str">
        <f t="shared" si="42"/>
        <v/>
      </c>
      <c r="IX98" s="4" t="str">
        <f t="shared" si="43"/>
        <v/>
      </c>
      <c r="IY98" s="4" t="str">
        <f t="shared" si="44"/>
        <v/>
      </c>
      <c r="IZ98" s="4" t="str">
        <f t="shared" si="45"/>
        <v/>
      </c>
      <c r="JA98" s="4" t="str">
        <f t="shared" ref="JA98:JB98" si="314">if(ISERROR(SEARCH("Higher Education",BB98)),"","810")</f>
        <v/>
      </c>
      <c r="JB98" s="4" t="str">
        <f t="shared" si="314"/>
        <v/>
      </c>
      <c r="JC98" s="4" t="str">
        <f t="shared" si="47"/>
        <v/>
      </c>
      <c r="JD98" s="4" t="str">
        <f t="shared" si="48"/>
        <v/>
      </c>
      <c r="JE98" s="4" t="str">
        <f t="shared" si="49"/>
        <v/>
      </c>
      <c r="JF98" s="4" t="str">
        <f t="shared" si="50"/>
        <v/>
      </c>
      <c r="JG98" s="4" t="str">
        <f t="shared" si="51"/>
        <v/>
      </c>
      <c r="JH98" s="4" t="str">
        <f t="shared" si="52"/>
        <v/>
      </c>
      <c r="JI98" s="4" t="str">
        <f t="shared" si="53"/>
        <v/>
      </c>
      <c r="JJ98" s="4" t="str">
        <f t="shared" si="54"/>
        <v/>
      </c>
      <c r="JK98" s="4" t="str">
        <f t="shared" si="55"/>
        <v/>
      </c>
      <c r="JL98" s="4" t="str">
        <f t="shared" si="56"/>
        <v/>
      </c>
      <c r="JM98" s="4" t="str">
        <f t="shared" si="57"/>
        <v/>
      </c>
      <c r="JN98" s="4" t="str">
        <f t="shared" si="58"/>
        <v/>
      </c>
      <c r="JO98" s="4" t="str">
        <f t="shared" si="59"/>
        <v/>
      </c>
      <c r="JP98" s="4" t="str">
        <f t="shared" si="60"/>
        <v/>
      </c>
      <c r="JQ98" s="4" t="str">
        <f t="shared" si="61"/>
        <v/>
      </c>
      <c r="JR98" s="4" t="str">
        <f t="shared" si="62"/>
        <v/>
      </c>
      <c r="JS98" s="4" t="str">
        <f t="shared" si="63"/>
        <v/>
      </c>
      <c r="JT98" s="4" t="str">
        <f t="shared" si="64"/>
        <v/>
      </c>
      <c r="JU98" s="4" t="str">
        <f t="shared" si="65"/>
        <v/>
      </c>
      <c r="JV98" s="4" t="str">
        <f t="shared" si="66"/>
        <v/>
      </c>
      <c r="JW98" s="4" t="str">
        <f t="shared" si="67"/>
        <v/>
      </c>
      <c r="JX98" s="4" t="str">
        <f t="shared" si="68"/>
        <v/>
      </c>
      <c r="JY98" s="4" t="str">
        <f t="shared" si="69"/>
        <v/>
      </c>
      <c r="JZ98" s="4" t="str">
        <f t="shared" si="70"/>
        <v/>
      </c>
      <c r="KA98" s="4" t="str">
        <f t="shared" si="71"/>
        <v/>
      </c>
      <c r="KB98" s="4" t="str">
        <f t="shared" si="72"/>
        <v/>
      </c>
      <c r="KC98" s="4" t="str">
        <f t="shared" si="73"/>
        <v/>
      </c>
      <c r="KD98" s="4" t="str">
        <f t="shared" si="74"/>
        <v/>
      </c>
      <c r="KE98" s="4" t="str">
        <f t="shared" si="75"/>
        <v/>
      </c>
      <c r="KF98" s="4" t="str">
        <f t="shared" si="76"/>
        <v/>
      </c>
      <c r="KG98" s="4" t="str">
        <f t="shared" si="77"/>
        <v/>
      </c>
      <c r="KH98" s="4" t="str">
        <f t="shared" si="78"/>
        <v/>
      </c>
      <c r="KI98" s="4" t="str">
        <f t="shared" si="79"/>
        <v/>
      </c>
      <c r="KJ98" s="4" t="str">
        <f t="shared" si="80"/>
        <v/>
      </c>
      <c r="KK98" s="4" t="str">
        <f t="shared" si="81"/>
        <v/>
      </c>
      <c r="KL98" s="4" t="str">
        <f t="shared" si="82"/>
        <v/>
      </c>
      <c r="KM98" s="4" t="str">
        <f t="shared" si="83"/>
        <v/>
      </c>
      <c r="KN98" s="4" t="str">
        <f t="shared" si="84"/>
        <v/>
      </c>
      <c r="KO98" s="4" t="str">
        <f t="shared" si="85"/>
        <v/>
      </c>
      <c r="KP98" s="4" t="str">
        <f t="shared" si="86"/>
        <v/>
      </c>
      <c r="KQ98" s="4" t="str">
        <f t="shared" si="87"/>
        <v/>
      </c>
      <c r="KR98" s="4" t="str">
        <f t="shared" si="88"/>
        <v/>
      </c>
      <c r="KS98" s="4" t="str">
        <f t="shared" si="89"/>
        <v/>
      </c>
      <c r="KT98" s="4" t="str">
        <f t="shared" si="90"/>
        <v/>
      </c>
      <c r="KU98" s="4" t="str">
        <f t="shared" si="91"/>
        <v/>
      </c>
      <c r="KV98" s="4" t="str">
        <f t="shared" si="92"/>
        <v/>
      </c>
      <c r="KW98" s="4" t="str">
        <f t="shared" si="93"/>
        <v/>
      </c>
      <c r="KX98" s="4" t="str">
        <f t="shared" si="94"/>
        <v/>
      </c>
      <c r="KY98" s="4" t="str">
        <f t="shared" si="95"/>
        <v/>
      </c>
      <c r="KZ98" s="4" t="str">
        <f t="shared" si="96"/>
        <v/>
      </c>
      <c r="LA98" s="4" t="str">
        <f t="shared" si="97"/>
        <v/>
      </c>
      <c r="LB98" s="4" t="str">
        <f t="shared" si="98"/>
        <v/>
      </c>
      <c r="LC98" s="4" t="str">
        <f t="shared" si="99"/>
        <v/>
      </c>
      <c r="LD98" s="4" t="str">
        <f t="shared" si="100"/>
        <v/>
      </c>
      <c r="LE98" s="4" t="str">
        <f t="shared" si="101"/>
        <v/>
      </c>
      <c r="LF98" s="4" t="str">
        <f t="shared" si="102"/>
        <v/>
      </c>
      <c r="LG98" s="4" t="str">
        <f t="shared" si="103"/>
        <v/>
      </c>
      <c r="LH98" s="4" t="str">
        <f t="shared" si="104"/>
        <v/>
      </c>
      <c r="LI98" s="4" t="str">
        <f t="shared" si="105"/>
        <v/>
      </c>
      <c r="LJ98" s="4" t="str">
        <f t="shared" si="106"/>
        <v/>
      </c>
      <c r="LK98" s="4" t="str">
        <f t="shared" si="107"/>
        <v/>
      </c>
      <c r="LL98" s="4" t="str">
        <f t="shared" si="108"/>
        <v/>
      </c>
      <c r="LM98" s="4" t="str">
        <f t="shared" si="109"/>
        <v/>
      </c>
      <c r="LN98" s="4" t="str">
        <f t="shared" si="110"/>
        <v/>
      </c>
      <c r="LO98" s="4" t="str">
        <f t="shared" si="111"/>
        <v/>
      </c>
      <c r="LP98" s="4" t="str">
        <f t="shared" si="112"/>
        <v/>
      </c>
      <c r="LQ98" s="4" t="str">
        <f t="shared" si="113"/>
        <v/>
      </c>
      <c r="LR98" s="4" t="str">
        <f t="shared" si="114"/>
        <v/>
      </c>
      <c r="LS98" s="4" t="str">
        <f t="shared" si="115"/>
        <v/>
      </c>
      <c r="LT98" s="4" t="str">
        <f t="shared" si="116"/>
        <v/>
      </c>
      <c r="LU98" s="4" t="str">
        <f t="shared" si="117"/>
        <v/>
      </c>
      <c r="LV98" s="4" t="str">
        <f t="shared" si="118"/>
        <v/>
      </c>
      <c r="LW98" s="4" t="str">
        <f t="shared" si="119"/>
        <v/>
      </c>
      <c r="LX98" s="4" t="str">
        <f t="shared" si="120"/>
        <v/>
      </c>
      <c r="LY98" s="4" t="str">
        <f t="shared" si="121"/>
        <v/>
      </c>
      <c r="LZ98" s="4" t="str">
        <f t="shared" si="122"/>
        <v/>
      </c>
      <c r="MA98" s="4" t="str">
        <f t="shared" si="123"/>
        <v/>
      </c>
      <c r="MB98" s="4" t="str">
        <f t="shared" si="124"/>
        <v/>
      </c>
      <c r="MC98" s="4" t="str">
        <f t="shared" si="125"/>
        <v/>
      </c>
      <c r="MD98" s="4" t="str">
        <f t="shared" si="126"/>
        <v/>
      </c>
      <c r="ME98" s="4" t="str">
        <f t="shared" si="127"/>
        <v/>
      </c>
      <c r="MF98" s="4" t="str">
        <f t="shared" si="128"/>
        <v/>
      </c>
      <c r="MG98" s="4" t="str">
        <f t="shared" si="129"/>
        <v/>
      </c>
      <c r="MH98" s="4" t="str">
        <f t="shared" si="130"/>
        <v/>
      </c>
      <c r="MI98" s="4" t="str">
        <f t="shared" si="131"/>
        <v/>
      </c>
      <c r="MJ98" s="4" t="str">
        <f t="shared" si="132"/>
        <v/>
      </c>
      <c r="MK98" s="4" t="str">
        <f t="shared" si="133"/>
        <v/>
      </c>
      <c r="ML98" s="4" t="str">
        <f t="shared" si="134"/>
        <v/>
      </c>
      <c r="MM98" s="4" t="str">
        <f t="shared" si="135"/>
        <v/>
      </c>
      <c r="MN98" s="4" t="str">
        <f t="shared" si="136"/>
        <v/>
      </c>
      <c r="MO98" s="4" t="str">
        <f t="shared" si="137"/>
        <v/>
      </c>
      <c r="MP98" s="4" t="str">
        <f t="shared" si="138"/>
        <v/>
      </c>
      <c r="MQ98" s="4" t="str">
        <f t="shared" si="139"/>
        <v/>
      </c>
      <c r="MR98" s="4" t="str">
        <f t="shared" si="140"/>
        <v/>
      </c>
      <c r="MS98" s="4" t="str">
        <f t="shared" si="141"/>
        <v/>
      </c>
      <c r="MT98" s="4" t="str">
        <f t="shared" si="142"/>
        <v/>
      </c>
      <c r="MU98" s="4" t="str">
        <f t="shared" si="143"/>
        <v/>
      </c>
      <c r="MV98" s="4" t="str">
        <f t="shared" si="144"/>
        <v/>
      </c>
      <c r="MW98" s="4" t="str">
        <f t="shared" si="145"/>
        <v/>
      </c>
      <c r="MX98" s="4" t="str">
        <f t="shared" si="146"/>
        <v/>
      </c>
      <c r="MY98" s="4" t="str">
        <f t="shared" si="147"/>
        <v/>
      </c>
      <c r="MZ98" s="4" t="str">
        <f t="shared" si="148"/>
        <v/>
      </c>
      <c r="NA98" s="4" t="str">
        <f t="shared" si="149"/>
        <v/>
      </c>
      <c r="NB98" s="4" t="str">
        <f t="shared" si="150"/>
        <v/>
      </c>
      <c r="NC98" s="4" t="str">
        <f t="shared" si="151"/>
        <v/>
      </c>
      <c r="ND98" s="4" t="str">
        <f t="shared" si="152"/>
        <v/>
      </c>
      <c r="NE98" s="4" t="str">
        <f t="shared" si="153"/>
        <v/>
      </c>
      <c r="NF98" s="4" t="str">
        <f t="shared" si="154"/>
        <v/>
      </c>
      <c r="NG98" s="4" t="str">
        <f t="shared" si="155"/>
        <v/>
      </c>
      <c r="NH98" s="4" t="str">
        <f t="shared" si="156"/>
        <v/>
      </c>
      <c r="NI98" s="4" t="str">
        <f t="shared" si="157"/>
        <v/>
      </c>
      <c r="NJ98" s="4" t="str">
        <f t="shared" si="158"/>
        <v/>
      </c>
      <c r="NK98" s="4" t="str">
        <f t="shared" si="159"/>
        <v/>
      </c>
      <c r="NL98" s="4" t="str">
        <f t="shared" si="160"/>
        <v/>
      </c>
      <c r="NM98" s="4" t="str">
        <f t="shared" si="161"/>
        <v/>
      </c>
      <c r="NN98" s="4" t="str">
        <f t="shared" si="162"/>
        <v/>
      </c>
      <c r="NO98" s="4" t="str">
        <f t="shared" si="163"/>
        <v/>
      </c>
      <c r="NP98" s="4" t="str">
        <f t="shared" si="164"/>
        <v/>
      </c>
      <c r="NQ98" s="4" t="str">
        <f t="shared" si="165"/>
        <v/>
      </c>
      <c r="NR98" s="4" t="str">
        <f t="shared" si="166"/>
        <v/>
      </c>
      <c r="NS98" s="4" t="str">
        <f t="shared" si="167"/>
        <v/>
      </c>
      <c r="NT98" s="4" t="str">
        <f t="shared" si="168"/>
        <v/>
      </c>
      <c r="NU98" s="4" t="str">
        <f t="shared" si="169"/>
        <v/>
      </c>
      <c r="NV98" s="4" t="str">
        <f t="shared" si="170"/>
        <v/>
      </c>
      <c r="NW98" s="4" t="str">
        <f t="shared" si="171"/>
        <v/>
      </c>
      <c r="NX98" s="4" t="str">
        <f t="shared" si="172"/>
        <v/>
      </c>
      <c r="NY98" s="4" t="str">
        <f t="shared" si="173"/>
        <v/>
      </c>
      <c r="NZ98" s="4" t="str">
        <f t="shared" si="174"/>
        <v/>
      </c>
      <c r="OA98" s="4" t="str">
        <f t="shared" si="175"/>
        <v/>
      </c>
      <c r="OB98" s="4" t="str">
        <f t="shared" si="176"/>
        <v/>
      </c>
      <c r="OC98" s="4" t="str">
        <f t="shared" si="177"/>
        <v/>
      </c>
      <c r="OD98" s="4" t="str">
        <f t="shared" si="178"/>
        <v/>
      </c>
      <c r="OE98" s="4" t="str">
        <f t="shared" si="179"/>
        <v/>
      </c>
      <c r="OF98" s="4" t="str">
        <f t="shared" si="180"/>
        <v/>
      </c>
      <c r="OG98" s="4" t="str">
        <f t="shared" si="181"/>
        <v/>
      </c>
      <c r="OH98" s="4" t="str">
        <f t="shared" si="182"/>
        <v/>
      </c>
      <c r="OI98" s="4" t="str">
        <f t="shared" si="183"/>
        <v/>
      </c>
      <c r="OJ98" s="4" t="str">
        <f t="shared" si="184"/>
        <v/>
      </c>
      <c r="OK98" s="4" t="str">
        <f t="shared" si="185"/>
        <v/>
      </c>
      <c r="OL98" s="4" t="str">
        <f t="shared" si="186"/>
        <v/>
      </c>
      <c r="OM98" s="4" t="str">
        <f t="shared" si="187"/>
        <v/>
      </c>
      <c r="ON98" s="4" t="str">
        <f t="shared" si="188"/>
        <v/>
      </c>
      <c r="OO98" s="4" t="str">
        <f t="shared" si="189"/>
        <v/>
      </c>
      <c r="OP98" s="4" t="str">
        <f t="shared" si="190"/>
        <v/>
      </c>
      <c r="OQ98" s="4" t="str">
        <f t="shared" si="191"/>
        <v/>
      </c>
      <c r="OR98" s="4" t="str">
        <f t="shared" si="192"/>
        <v/>
      </c>
      <c r="OS98" s="4" t="str">
        <f t="shared" si="193"/>
        <v/>
      </c>
      <c r="OT98" s="4" t="str">
        <f t="shared" si="194"/>
        <v/>
      </c>
      <c r="OU98" s="4" t="str">
        <f t="shared" si="195"/>
        <v/>
      </c>
      <c r="OV98" s="4" t="str">
        <f t="shared" si="196"/>
        <v/>
      </c>
      <c r="OW98" s="4" t="str">
        <f t="shared" si="197"/>
        <v/>
      </c>
      <c r="OX98" s="4" t="str">
        <f t="shared" si="198"/>
        <v/>
      </c>
      <c r="OY98" s="4" t="str">
        <f t="shared" si="199"/>
        <v/>
      </c>
      <c r="OZ98" s="4" t="str">
        <f t="shared" si="200"/>
        <v/>
      </c>
      <c r="PA98" s="4" t="str">
        <f t="shared" si="201"/>
        <v/>
      </c>
      <c r="PB98" s="4" t="str">
        <f t="shared" si="202"/>
        <v/>
      </c>
      <c r="PC98" s="4" t="str">
        <f t="shared" si="203"/>
        <v/>
      </c>
      <c r="PD98" s="4" t="str">
        <f t="shared" si="204"/>
        <v/>
      </c>
      <c r="PE98" s="4" t="str">
        <f t="shared" si="205"/>
        <v/>
      </c>
      <c r="PF98" s="4" t="str">
        <f t="shared" si="206"/>
        <v/>
      </c>
      <c r="PG98" s="4" t="str">
        <f t="shared" si="207"/>
        <v/>
      </c>
      <c r="PH98" s="4" t="str">
        <f t="shared" si="208"/>
        <v/>
      </c>
      <c r="PI98" s="4" t="str">
        <f t="shared" si="209"/>
        <v/>
      </c>
      <c r="PJ98" s="4" t="str">
        <f t="shared" si="210"/>
        <v/>
      </c>
      <c r="PK98" s="4" t="str">
        <f t="shared" si="211"/>
        <v/>
      </c>
      <c r="PL98" s="4" t="str">
        <f t="shared" si="212"/>
        <v/>
      </c>
      <c r="PM98" s="4" t="str">
        <f t="shared" si="213"/>
        <v/>
      </c>
      <c r="PN98" s="4" t="str">
        <f t="shared" si="214"/>
        <v/>
      </c>
      <c r="PO98" s="4" t="str">
        <f t="shared" si="215"/>
        <v/>
      </c>
      <c r="PP98" s="4" t="str">
        <f t="shared" si="216"/>
        <v/>
      </c>
      <c r="PQ98" s="4" t="str">
        <f t="shared" si="217"/>
        <v/>
      </c>
      <c r="PR98" s="4" t="str">
        <f t="shared" si="218"/>
        <v/>
      </c>
      <c r="PS98" s="4" t="str">
        <f t="shared" si="219"/>
        <v/>
      </c>
    </row>
    <row r="99">
      <c r="HI99" s="4" t="str">
        <f t="shared" si="2"/>
        <v/>
      </c>
      <c r="HJ99" s="4" t="str">
        <f t="shared" si="3"/>
        <v/>
      </c>
      <c r="HK99" s="4" t="str">
        <f t="shared" si="4"/>
        <v/>
      </c>
      <c r="HL99" s="4" t="str">
        <f t="shared" si="5"/>
        <v/>
      </c>
      <c r="HM99" s="4" t="str">
        <f t="shared" si="6"/>
        <v/>
      </c>
      <c r="HN99" s="4" t="str">
        <f t="shared" si="7"/>
        <v/>
      </c>
      <c r="HO99" s="4" t="str">
        <f t="shared" si="8"/>
        <v/>
      </c>
      <c r="HP99" s="4" t="str">
        <f t="shared" si="9"/>
        <v/>
      </c>
      <c r="HQ99" s="4" t="str">
        <f t="shared" si="10"/>
        <v/>
      </c>
      <c r="HR99" s="4" t="str">
        <f t="shared" si="11"/>
        <v/>
      </c>
      <c r="HS99" s="4" t="str">
        <f t="shared" si="12"/>
        <v/>
      </c>
      <c r="HT99" s="4" t="str">
        <f t="shared" si="13"/>
        <v/>
      </c>
      <c r="HU99" s="4" t="str">
        <f t="shared" si="14"/>
        <v/>
      </c>
      <c r="HV99" s="4" t="str">
        <f t="shared" si="15"/>
        <v/>
      </c>
      <c r="HW99" s="4" t="str">
        <f t="shared" si="16"/>
        <v/>
      </c>
      <c r="HX99" s="4" t="str">
        <f t="shared" si="17"/>
        <v/>
      </c>
      <c r="HY99" s="4" t="str">
        <f t="shared" si="18"/>
        <v/>
      </c>
      <c r="HZ99" s="4" t="str">
        <f t="shared" si="19"/>
        <v/>
      </c>
      <c r="IA99" s="4" t="str">
        <f t="shared" si="20"/>
        <v/>
      </c>
      <c r="IB99" s="4" t="str">
        <f t="shared" si="21"/>
        <v/>
      </c>
      <c r="IC99" s="4" t="str">
        <f t="shared" si="22"/>
        <v/>
      </c>
      <c r="ID99" s="4" t="str">
        <f t="shared" si="23"/>
        <v/>
      </c>
      <c r="IE99" s="4" t="str">
        <f t="shared" si="24"/>
        <v/>
      </c>
      <c r="IF99" s="4" t="str">
        <f t="shared" si="25"/>
        <v/>
      </c>
      <c r="IG99" s="4" t="str">
        <f t="shared" si="26"/>
        <v/>
      </c>
      <c r="IH99" s="4" t="str">
        <f t="shared" si="27"/>
        <v/>
      </c>
      <c r="II99" s="4" t="str">
        <f t="shared" si="28"/>
        <v/>
      </c>
      <c r="IJ99" s="4" t="str">
        <f t="shared" si="29"/>
        <v/>
      </c>
      <c r="IK99" s="4" t="str">
        <f t="shared" si="30"/>
        <v/>
      </c>
      <c r="IL99" s="4" t="str">
        <f t="shared" si="31"/>
        <v/>
      </c>
      <c r="IM99" s="4" t="str">
        <f t="shared" si="32"/>
        <v/>
      </c>
      <c r="IN99" s="4" t="str">
        <f t="shared" si="33"/>
        <v/>
      </c>
      <c r="IO99" s="4" t="str">
        <f t="shared" si="34"/>
        <v/>
      </c>
      <c r="IP99" s="4" t="str">
        <f t="shared" si="35"/>
        <v/>
      </c>
      <c r="IQ99" s="4" t="str">
        <f t="shared" si="36"/>
        <v/>
      </c>
      <c r="IR99" s="4" t="str">
        <f t="shared" si="37"/>
        <v/>
      </c>
      <c r="IS99" s="4" t="str">
        <f t="shared" si="38"/>
        <v/>
      </c>
      <c r="IT99" s="4" t="str">
        <f t="shared" si="39"/>
        <v/>
      </c>
      <c r="IU99" s="4" t="str">
        <f t="shared" si="40"/>
        <v/>
      </c>
      <c r="IV99" s="4" t="str">
        <f t="shared" si="41"/>
        <v/>
      </c>
      <c r="IW99" s="4" t="str">
        <f t="shared" si="42"/>
        <v/>
      </c>
      <c r="IX99" s="4" t="str">
        <f t="shared" si="43"/>
        <v/>
      </c>
      <c r="IY99" s="4" t="str">
        <f t="shared" si="44"/>
        <v/>
      </c>
      <c r="IZ99" s="4" t="str">
        <f t="shared" si="45"/>
        <v/>
      </c>
      <c r="JA99" s="4" t="str">
        <f t="shared" ref="JA99:JB99" si="315">if(ISERROR(SEARCH("Higher Education",BB99)),"","810")</f>
        <v/>
      </c>
      <c r="JB99" s="4" t="str">
        <f t="shared" si="315"/>
        <v/>
      </c>
      <c r="JC99" s="4" t="str">
        <f t="shared" si="47"/>
        <v/>
      </c>
      <c r="JD99" s="4" t="str">
        <f t="shared" si="48"/>
        <v/>
      </c>
      <c r="JE99" s="4" t="str">
        <f t="shared" si="49"/>
        <v/>
      </c>
      <c r="JF99" s="4" t="str">
        <f t="shared" si="50"/>
        <v/>
      </c>
      <c r="JG99" s="4" t="str">
        <f t="shared" si="51"/>
        <v/>
      </c>
      <c r="JH99" s="4" t="str">
        <f t="shared" si="52"/>
        <v/>
      </c>
      <c r="JI99" s="4" t="str">
        <f t="shared" si="53"/>
        <v/>
      </c>
      <c r="JJ99" s="4" t="str">
        <f t="shared" si="54"/>
        <v/>
      </c>
      <c r="JK99" s="4" t="str">
        <f t="shared" si="55"/>
        <v/>
      </c>
      <c r="JL99" s="4" t="str">
        <f t="shared" si="56"/>
        <v/>
      </c>
      <c r="JM99" s="4" t="str">
        <f t="shared" si="57"/>
        <v/>
      </c>
      <c r="JN99" s="4" t="str">
        <f t="shared" si="58"/>
        <v/>
      </c>
      <c r="JO99" s="4" t="str">
        <f t="shared" si="59"/>
        <v/>
      </c>
      <c r="JP99" s="4" t="str">
        <f t="shared" si="60"/>
        <v/>
      </c>
      <c r="JQ99" s="4" t="str">
        <f t="shared" si="61"/>
        <v/>
      </c>
      <c r="JR99" s="4" t="str">
        <f t="shared" si="62"/>
        <v/>
      </c>
      <c r="JS99" s="4" t="str">
        <f t="shared" si="63"/>
        <v/>
      </c>
      <c r="JT99" s="4" t="str">
        <f t="shared" si="64"/>
        <v/>
      </c>
      <c r="JU99" s="4" t="str">
        <f t="shared" si="65"/>
        <v/>
      </c>
      <c r="JV99" s="4" t="str">
        <f t="shared" si="66"/>
        <v/>
      </c>
      <c r="JW99" s="4" t="str">
        <f t="shared" si="67"/>
        <v/>
      </c>
      <c r="JX99" s="4" t="str">
        <f t="shared" si="68"/>
        <v/>
      </c>
      <c r="JY99" s="4" t="str">
        <f t="shared" si="69"/>
        <v/>
      </c>
      <c r="JZ99" s="4" t="str">
        <f t="shared" si="70"/>
        <v/>
      </c>
      <c r="KA99" s="4" t="str">
        <f t="shared" si="71"/>
        <v/>
      </c>
      <c r="KB99" s="4" t="str">
        <f t="shared" si="72"/>
        <v/>
      </c>
      <c r="KC99" s="4" t="str">
        <f t="shared" si="73"/>
        <v/>
      </c>
      <c r="KD99" s="4" t="str">
        <f t="shared" si="74"/>
        <v/>
      </c>
      <c r="KE99" s="4" t="str">
        <f t="shared" si="75"/>
        <v/>
      </c>
      <c r="KF99" s="4" t="str">
        <f t="shared" si="76"/>
        <v/>
      </c>
      <c r="KG99" s="4" t="str">
        <f t="shared" si="77"/>
        <v/>
      </c>
      <c r="KH99" s="4" t="str">
        <f t="shared" si="78"/>
        <v/>
      </c>
      <c r="KI99" s="4" t="str">
        <f t="shared" si="79"/>
        <v/>
      </c>
      <c r="KJ99" s="4" t="str">
        <f t="shared" si="80"/>
        <v/>
      </c>
      <c r="KK99" s="4" t="str">
        <f t="shared" si="81"/>
        <v/>
      </c>
      <c r="KL99" s="4" t="str">
        <f t="shared" si="82"/>
        <v/>
      </c>
      <c r="KM99" s="4" t="str">
        <f t="shared" si="83"/>
        <v/>
      </c>
      <c r="KN99" s="4" t="str">
        <f t="shared" si="84"/>
        <v/>
      </c>
      <c r="KO99" s="4" t="str">
        <f t="shared" si="85"/>
        <v/>
      </c>
      <c r="KP99" s="4" t="str">
        <f t="shared" si="86"/>
        <v/>
      </c>
      <c r="KQ99" s="4" t="str">
        <f t="shared" si="87"/>
        <v/>
      </c>
      <c r="KR99" s="4" t="str">
        <f t="shared" si="88"/>
        <v/>
      </c>
      <c r="KS99" s="4" t="str">
        <f t="shared" si="89"/>
        <v/>
      </c>
      <c r="KT99" s="4" t="str">
        <f t="shared" si="90"/>
        <v/>
      </c>
      <c r="KU99" s="4" t="str">
        <f t="shared" si="91"/>
        <v/>
      </c>
      <c r="KV99" s="4" t="str">
        <f t="shared" si="92"/>
        <v/>
      </c>
      <c r="KW99" s="4" t="str">
        <f t="shared" si="93"/>
        <v/>
      </c>
      <c r="KX99" s="4" t="str">
        <f t="shared" si="94"/>
        <v/>
      </c>
      <c r="KY99" s="4" t="str">
        <f t="shared" si="95"/>
        <v/>
      </c>
      <c r="KZ99" s="4" t="str">
        <f t="shared" si="96"/>
        <v/>
      </c>
      <c r="LA99" s="4" t="str">
        <f t="shared" si="97"/>
        <v/>
      </c>
      <c r="LB99" s="4" t="str">
        <f t="shared" si="98"/>
        <v/>
      </c>
      <c r="LC99" s="4" t="str">
        <f t="shared" si="99"/>
        <v/>
      </c>
      <c r="LD99" s="4" t="str">
        <f t="shared" si="100"/>
        <v/>
      </c>
      <c r="LE99" s="4" t="str">
        <f t="shared" si="101"/>
        <v/>
      </c>
      <c r="LF99" s="4" t="str">
        <f t="shared" si="102"/>
        <v/>
      </c>
      <c r="LG99" s="4" t="str">
        <f t="shared" si="103"/>
        <v/>
      </c>
      <c r="LH99" s="4" t="str">
        <f t="shared" si="104"/>
        <v/>
      </c>
      <c r="LI99" s="4" t="str">
        <f t="shared" si="105"/>
        <v/>
      </c>
      <c r="LJ99" s="4" t="str">
        <f t="shared" si="106"/>
        <v/>
      </c>
      <c r="LK99" s="4" t="str">
        <f t="shared" si="107"/>
        <v/>
      </c>
      <c r="LL99" s="4" t="str">
        <f t="shared" si="108"/>
        <v/>
      </c>
      <c r="LM99" s="4" t="str">
        <f t="shared" si="109"/>
        <v/>
      </c>
      <c r="LN99" s="4" t="str">
        <f t="shared" si="110"/>
        <v/>
      </c>
      <c r="LO99" s="4" t="str">
        <f t="shared" si="111"/>
        <v/>
      </c>
      <c r="LP99" s="4" t="str">
        <f t="shared" si="112"/>
        <v/>
      </c>
      <c r="LQ99" s="4" t="str">
        <f t="shared" si="113"/>
        <v/>
      </c>
      <c r="LR99" s="4" t="str">
        <f t="shared" si="114"/>
        <v/>
      </c>
      <c r="LS99" s="4" t="str">
        <f t="shared" si="115"/>
        <v/>
      </c>
      <c r="LT99" s="4" t="str">
        <f t="shared" si="116"/>
        <v/>
      </c>
      <c r="LU99" s="4" t="str">
        <f t="shared" si="117"/>
        <v/>
      </c>
      <c r="LV99" s="4" t="str">
        <f t="shared" si="118"/>
        <v/>
      </c>
      <c r="LW99" s="4" t="str">
        <f t="shared" si="119"/>
        <v/>
      </c>
      <c r="LX99" s="4" t="str">
        <f t="shared" si="120"/>
        <v/>
      </c>
      <c r="LY99" s="4" t="str">
        <f t="shared" si="121"/>
        <v/>
      </c>
      <c r="LZ99" s="4" t="str">
        <f t="shared" si="122"/>
        <v/>
      </c>
      <c r="MA99" s="4" t="str">
        <f t="shared" si="123"/>
        <v/>
      </c>
      <c r="MB99" s="4" t="str">
        <f t="shared" si="124"/>
        <v/>
      </c>
      <c r="MC99" s="4" t="str">
        <f t="shared" si="125"/>
        <v/>
      </c>
      <c r="MD99" s="4" t="str">
        <f t="shared" si="126"/>
        <v/>
      </c>
      <c r="ME99" s="4" t="str">
        <f t="shared" si="127"/>
        <v/>
      </c>
      <c r="MF99" s="4" t="str">
        <f t="shared" si="128"/>
        <v/>
      </c>
      <c r="MG99" s="4" t="str">
        <f t="shared" si="129"/>
        <v/>
      </c>
      <c r="MH99" s="4" t="str">
        <f t="shared" si="130"/>
        <v/>
      </c>
      <c r="MI99" s="4" t="str">
        <f t="shared" si="131"/>
        <v/>
      </c>
      <c r="MJ99" s="4" t="str">
        <f t="shared" si="132"/>
        <v/>
      </c>
      <c r="MK99" s="4" t="str">
        <f t="shared" si="133"/>
        <v/>
      </c>
      <c r="ML99" s="4" t="str">
        <f t="shared" si="134"/>
        <v/>
      </c>
      <c r="MM99" s="4" t="str">
        <f t="shared" si="135"/>
        <v/>
      </c>
      <c r="MN99" s="4" t="str">
        <f t="shared" si="136"/>
        <v/>
      </c>
      <c r="MO99" s="4" t="str">
        <f t="shared" si="137"/>
        <v/>
      </c>
      <c r="MP99" s="4" t="str">
        <f t="shared" si="138"/>
        <v/>
      </c>
      <c r="MQ99" s="4" t="str">
        <f t="shared" si="139"/>
        <v/>
      </c>
      <c r="MR99" s="4" t="str">
        <f t="shared" si="140"/>
        <v/>
      </c>
      <c r="MS99" s="4" t="str">
        <f t="shared" si="141"/>
        <v/>
      </c>
      <c r="MT99" s="4" t="str">
        <f t="shared" si="142"/>
        <v/>
      </c>
      <c r="MU99" s="4" t="str">
        <f t="shared" si="143"/>
        <v/>
      </c>
      <c r="MV99" s="4" t="str">
        <f t="shared" si="144"/>
        <v/>
      </c>
      <c r="MW99" s="4" t="str">
        <f t="shared" si="145"/>
        <v/>
      </c>
      <c r="MX99" s="4" t="str">
        <f t="shared" si="146"/>
        <v/>
      </c>
      <c r="MY99" s="4" t="str">
        <f t="shared" si="147"/>
        <v/>
      </c>
      <c r="MZ99" s="4" t="str">
        <f t="shared" si="148"/>
        <v/>
      </c>
      <c r="NA99" s="4" t="str">
        <f t="shared" si="149"/>
        <v/>
      </c>
      <c r="NB99" s="4" t="str">
        <f t="shared" si="150"/>
        <v/>
      </c>
      <c r="NC99" s="4" t="str">
        <f t="shared" si="151"/>
        <v/>
      </c>
      <c r="ND99" s="4" t="str">
        <f t="shared" si="152"/>
        <v/>
      </c>
      <c r="NE99" s="4" t="str">
        <f t="shared" si="153"/>
        <v/>
      </c>
      <c r="NF99" s="4" t="str">
        <f t="shared" si="154"/>
        <v/>
      </c>
      <c r="NG99" s="4" t="str">
        <f t="shared" si="155"/>
        <v/>
      </c>
      <c r="NH99" s="4" t="str">
        <f t="shared" si="156"/>
        <v/>
      </c>
      <c r="NI99" s="4" t="str">
        <f t="shared" si="157"/>
        <v/>
      </c>
      <c r="NJ99" s="4" t="str">
        <f t="shared" si="158"/>
        <v/>
      </c>
      <c r="NK99" s="4" t="str">
        <f t="shared" si="159"/>
        <v/>
      </c>
      <c r="NL99" s="4" t="str">
        <f t="shared" si="160"/>
        <v/>
      </c>
      <c r="NM99" s="4" t="str">
        <f t="shared" si="161"/>
        <v/>
      </c>
      <c r="NN99" s="4" t="str">
        <f t="shared" si="162"/>
        <v/>
      </c>
      <c r="NO99" s="4" t="str">
        <f t="shared" si="163"/>
        <v/>
      </c>
      <c r="NP99" s="4" t="str">
        <f t="shared" si="164"/>
        <v/>
      </c>
      <c r="NQ99" s="4" t="str">
        <f t="shared" si="165"/>
        <v/>
      </c>
      <c r="NR99" s="4" t="str">
        <f t="shared" si="166"/>
        <v/>
      </c>
      <c r="NS99" s="4" t="str">
        <f t="shared" si="167"/>
        <v/>
      </c>
      <c r="NT99" s="4" t="str">
        <f t="shared" si="168"/>
        <v/>
      </c>
      <c r="NU99" s="4" t="str">
        <f t="shared" si="169"/>
        <v/>
      </c>
      <c r="NV99" s="4" t="str">
        <f t="shared" si="170"/>
        <v/>
      </c>
      <c r="NW99" s="4" t="str">
        <f t="shared" si="171"/>
        <v/>
      </c>
      <c r="NX99" s="4" t="str">
        <f t="shared" si="172"/>
        <v/>
      </c>
      <c r="NY99" s="4" t="str">
        <f t="shared" si="173"/>
        <v/>
      </c>
      <c r="NZ99" s="4" t="str">
        <f t="shared" si="174"/>
        <v/>
      </c>
      <c r="OA99" s="4" t="str">
        <f t="shared" si="175"/>
        <v/>
      </c>
      <c r="OB99" s="4" t="str">
        <f t="shared" si="176"/>
        <v/>
      </c>
      <c r="OC99" s="4" t="str">
        <f t="shared" si="177"/>
        <v/>
      </c>
      <c r="OD99" s="4" t="str">
        <f t="shared" si="178"/>
        <v/>
      </c>
      <c r="OE99" s="4" t="str">
        <f t="shared" si="179"/>
        <v/>
      </c>
      <c r="OF99" s="4" t="str">
        <f t="shared" si="180"/>
        <v/>
      </c>
      <c r="OG99" s="4" t="str">
        <f t="shared" si="181"/>
        <v/>
      </c>
      <c r="OH99" s="4" t="str">
        <f t="shared" si="182"/>
        <v/>
      </c>
      <c r="OI99" s="4" t="str">
        <f t="shared" si="183"/>
        <v/>
      </c>
      <c r="OJ99" s="4" t="str">
        <f t="shared" si="184"/>
        <v/>
      </c>
      <c r="OK99" s="4" t="str">
        <f t="shared" si="185"/>
        <v/>
      </c>
      <c r="OL99" s="4" t="str">
        <f t="shared" si="186"/>
        <v/>
      </c>
      <c r="OM99" s="4" t="str">
        <f t="shared" si="187"/>
        <v/>
      </c>
      <c r="ON99" s="4" t="str">
        <f t="shared" si="188"/>
        <v/>
      </c>
      <c r="OO99" s="4" t="str">
        <f t="shared" si="189"/>
        <v/>
      </c>
      <c r="OP99" s="4" t="str">
        <f t="shared" si="190"/>
        <v/>
      </c>
      <c r="OQ99" s="4" t="str">
        <f t="shared" si="191"/>
        <v/>
      </c>
      <c r="OR99" s="4" t="str">
        <f t="shared" si="192"/>
        <v/>
      </c>
      <c r="OS99" s="4" t="str">
        <f t="shared" si="193"/>
        <v/>
      </c>
      <c r="OT99" s="4" t="str">
        <f t="shared" si="194"/>
        <v/>
      </c>
      <c r="OU99" s="4" t="str">
        <f t="shared" si="195"/>
        <v/>
      </c>
      <c r="OV99" s="4" t="str">
        <f t="shared" si="196"/>
        <v/>
      </c>
      <c r="OW99" s="4" t="str">
        <f t="shared" si="197"/>
        <v/>
      </c>
      <c r="OX99" s="4" t="str">
        <f t="shared" si="198"/>
        <v/>
      </c>
      <c r="OY99" s="4" t="str">
        <f t="shared" si="199"/>
        <v/>
      </c>
      <c r="OZ99" s="4" t="str">
        <f t="shared" si="200"/>
        <v/>
      </c>
      <c r="PA99" s="4" t="str">
        <f t="shared" si="201"/>
        <v/>
      </c>
      <c r="PB99" s="4" t="str">
        <f t="shared" si="202"/>
        <v/>
      </c>
      <c r="PC99" s="4" t="str">
        <f t="shared" si="203"/>
        <v/>
      </c>
      <c r="PD99" s="4" t="str">
        <f t="shared" si="204"/>
        <v/>
      </c>
      <c r="PE99" s="4" t="str">
        <f t="shared" si="205"/>
        <v/>
      </c>
      <c r="PF99" s="4" t="str">
        <f t="shared" si="206"/>
        <v/>
      </c>
      <c r="PG99" s="4" t="str">
        <f t="shared" si="207"/>
        <v/>
      </c>
      <c r="PH99" s="4" t="str">
        <f t="shared" si="208"/>
        <v/>
      </c>
      <c r="PI99" s="4" t="str">
        <f t="shared" si="209"/>
        <v/>
      </c>
      <c r="PJ99" s="4" t="str">
        <f t="shared" si="210"/>
        <v/>
      </c>
      <c r="PK99" s="4" t="str">
        <f t="shared" si="211"/>
        <v/>
      </c>
      <c r="PL99" s="4" t="str">
        <f t="shared" si="212"/>
        <v/>
      </c>
      <c r="PM99" s="4" t="str">
        <f t="shared" si="213"/>
        <v/>
      </c>
      <c r="PN99" s="4" t="str">
        <f t="shared" si="214"/>
        <v/>
      </c>
      <c r="PO99" s="4" t="str">
        <f t="shared" si="215"/>
        <v/>
      </c>
      <c r="PP99" s="4" t="str">
        <f t="shared" si="216"/>
        <v/>
      </c>
      <c r="PQ99" s="4" t="str">
        <f t="shared" si="217"/>
        <v/>
      </c>
      <c r="PR99" s="4" t="str">
        <f t="shared" si="218"/>
        <v/>
      </c>
      <c r="PS99" s="4" t="str">
        <f t="shared" si="219"/>
        <v/>
      </c>
    </row>
    <row r="100">
      <c r="HI100" s="4" t="str">
        <f t="shared" si="2"/>
        <v/>
      </c>
      <c r="HJ100" s="4" t="str">
        <f t="shared" si="3"/>
        <v/>
      </c>
      <c r="HK100" s="4" t="str">
        <f t="shared" si="4"/>
        <v/>
      </c>
      <c r="HL100" s="4" t="str">
        <f t="shared" si="5"/>
        <v/>
      </c>
      <c r="HM100" s="4" t="str">
        <f t="shared" si="6"/>
        <v/>
      </c>
      <c r="HN100" s="4" t="str">
        <f t="shared" si="7"/>
        <v/>
      </c>
      <c r="HO100" s="4" t="str">
        <f t="shared" si="8"/>
        <v/>
      </c>
      <c r="HP100" s="4" t="str">
        <f t="shared" si="9"/>
        <v/>
      </c>
      <c r="HQ100" s="4" t="str">
        <f t="shared" si="10"/>
        <v/>
      </c>
      <c r="HR100" s="4" t="str">
        <f t="shared" si="11"/>
        <v/>
      </c>
      <c r="HS100" s="4" t="str">
        <f t="shared" si="12"/>
        <v/>
      </c>
      <c r="HT100" s="4" t="str">
        <f t="shared" si="13"/>
        <v/>
      </c>
      <c r="HU100" s="4" t="str">
        <f t="shared" si="14"/>
        <v/>
      </c>
      <c r="HV100" s="4" t="str">
        <f t="shared" si="15"/>
        <v/>
      </c>
      <c r="HW100" s="4" t="str">
        <f t="shared" si="16"/>
        <v/>
      </c>
      <c r="HX100" s="4" t="str">
        <f t="shared" si="17"/>
        <v/>
      </c>
      <c r="HY100" s="4" t="str">
        <f t="shared" si="18"/>
        <v/>
      </c>
      <c r="HZ100" s="4" t="str">
        <f t="shared" si="19"/>
        <v/>
      </c>
      <c r="IA100" s="4" t="str">
        <f t="shared" si="20"/>
        <v/>
      </c>
      <c r="IB100" s="4" t="str">
        <f t="shared" si="21"/>
        <v/>
      </c>
      <c r="IC100" s="4" t="str">
        <f t="shared" si="22"/>
        <v/>
      </c>
      <c r="ID100" s="4" t="str">
        <f t="shared" si="23"/>
        <v/>
      </c>
      <c r="IE100" s="4" t="str">
        <f t="shared" si="24"/>
        <v/>
      </c>
      <c r="IF100" s="4" t="str">
        <f t="shared" si="25"/>
        <v/>
      </c>
      <c r="IG100" s="4" t="str">
        <f t="shared" si="26"/>
        <v/>
      </c>
      <c r="IH100" s="4" t="str">
        <f t="shared" si="27"/>
        <v/>
      </c>
      <c r="II100" s="4" t="str">
        <f t="shared" si="28"/>
        <v/>
      </c>
      <c r="IJ100" s="4" t="str">
        <f t="shared" si="29"/>
        <v/>
      </c>
      <c r="IK100" s="4" t="str">
        <f t="shared" si="30"/>
        <v/>
      </c>
      <c r="IL100" s="4" t="str">
        <f t="shared" si="31"/>
        <v/>
      </c>
      <c r="IM100" s="4" t="str">
        <f t="shared" si="32"/>
        <v/>
      </c>
      <c r="IN100" s="4" t="str">
        <f t="shared" si="33"/>
        <v/>
      </c>
      <c r="IO100" s="4" t="str">
        <f t="shared" si="34"/>
        <v/>
      </c>
      <c r="IP100" s="4" t="str">
        <f t="shared" si="35"/>
        <v/>
      </c>
      <c r="IQ100" s="4" t="str">
        <f t="shared" si="36"/>
        <v/>
      </c>
      <c r="IR100" s="4" t="str">
        <f t="shared" si="37"/>
        <v/>
      </c>
      <c r="IS100" s="4" t="str">
        <f t="shared" si="38"/>
        <v/>
      </c>
      <c r="IT100" s="4" t="str">
        <f t="shared" si="39"/>
        <v/>
      </c>
      <c r="IU100" s="4" t="str">
        <f t="shared" si="40"/>
        <v/>
      </c>
      <c r="IV100" s="4" t="str">
        <f t="shared" si="41"/>
        <v/>
      </c>
      <c r="IW100" s="4" t="str">
        <f t="shared" si="42"/>
        <v/>
      </c>
      <c r="IX100" s="4" t="str">
        <f t="shared" si="43"/>
        <v/>
      </c>
      <c r="IY100" s="4" t="str">
        <f t="shared" si="44"/>
        <v/>
      </c>
      <c r="IZ100" s="4" t="str">
        <f t="shared" si="45"/>
        <v/>
      </c>
      <c r="JA100" s="4" t="str">
        <f t="shared" ref="JA100:JB100" si="316">if(ISERROR(SEARCH("Higher Education",BB100)),"","810")</f>
        <v/>
      </c>
      <c r="JB100" s="4" t="str">
        <f t="shared" si="316"/>
        <v/>
      </c>
      <c r="JC100" s="4" t="str">
        <f t="shared" si="47"/>
        <v/>
      </c>
      <c r="JD100" s="4" t="str">
        <f t="shared" si="48"/>
        <v/>
      </c>
      <c r="JE100" s="4" t="str">
        <f t="shared" si="49"/>
        <v/>
      </c>
      <c r="JF100" s="4" t="str">
        <f t="shared" si="50"/>
        <v/>
      </c>
      <c r="JG100" s="4" t="str">
        <f t="shared" si="51"/>
        <v/>
      </c>
      <c r="JH100" s="4" t="str">
        <f t="shared" si="52"/>
        <v/>
      </c>
      <c r="JI100" s="4" t="str">
        <f t="shared" si="53"/>
        <v/>
      </c>
      <c r="JJ100" s="4" t="str">
        <f t="shared" si="54"/>
        <v/>
      </c>
      <c r="JK100" s="4" t="str">
        <f t="shared" si="55"/>
        <v/>
      </c>
      <c r="JL100" s="4" t="str">
        <f t="shared" si="56"/>
        <v/>
      </c>
      <c r="JM100" s="4" t="str">
        <f t="shared" si="57"/>
        <v/>
      </c>
      <c r="JN100" s="4" t="str">
        <f t="shared" si="58"/>
        <v/>
      </c>
      <c r="JO100" s="4" t="str">
        <f t="shared" si="59"/>
        <v/>
      </c>
      <c r="JP100" s="4" t="str">
        <f t="shared" si="60"/>
        <v/>
      </c>
      <c r="JQ100" s="4" t="str">
        <f t="shared" si="61"/>
        <v/>
      </c>
      <c r="JR100" s="4" t="str">
        <f t="shared" si="62"/>
        <v/>
      </c>
      <c r="JS100" s="4" t="str">
        <f t="shared" si="63"/>
        <v/>
      </c>
      <c r="JT100" s="4" t="str">
        <f t="shared" si="64"/>
        <v/>
      </c>
      <c r="JU100" s="4" t="str">
        <f t="shared" si="65"/>
        <v/>
      </c>
      <c r="JV100" s="4" t="str">
        <f t="shared" si="66"/>
        <v/>
      </c>
      <c r="JW100" s="4" t="str">
        <f t="shared" si="67"/>
        <v/>
      </c>
      <c r="JX100" s="4" t="str">
        <f t="shared" si="68"/>
        <v/>
      </c>
      <c r="JY100" s="4" t="str">
        <f t="shared" si="69"/>
        <v/>
      </c>
      <c r="JZ100" s="4" t="str">
        <f t="shared" si="70"/>
        <v/>
      </c>
      <c r="KA100" s="4" t="str">
        <f t="shared" si="71"/>
        <v/>
      </c>
      <c r="KB100" s="4" t="str">
        <f t="shared" si="72"/>
        <v/>
      </c>
      <c r="KC100" s="4" t="str">
        <f t="shared" si="73"/>
        <v/>
      </c>
      <c r="KD100" s="4" t="str">
        <f t="shared" si="74"/>
        <v/>
      </c>
      <c r="KE100" s="4" t="str">
        <f t="shared" si="75"/>
        <v/>
      </c>
      <c r="KF100" s="4" t="str">
        <f t="shared" si="76"/>
        <v/>
      </c>
      <c r="KG100" s="4" t="str">
        <f t="shared" si="77"/>
        <v/>
      </c>
      <c r="KH100" s="4" t="str">
        <f t="shared" si="78"/>
        <v/>
      </c>
      <c r="KI100" s="4" t="str">
        <f t="shared" si="79"/>
        <v/>
      </c>
      <c r="KJ100" s="4" t="str">
        <f t="shared" si="80"/>
        <v/>
      </c>
      <c r="KK100" s="4" t="str">
        <f t="shared" si="81"/>
        <v/>
      </c>
      <c r="KL100" s="4" t="str">
        <f t="shared" si="82"/>
        <v/>
      </c>
      <c r="KM100" s="4" t="str">
        <f t="shared" si="83"/>
        <v/>
      </c>
      <c r="KN100" s="4" t="str">
        <f t="shared" si="84"/>
        <v/>
      </c>
      <c r="KO100" s="4" t="str">
        <f t="shared" si="85"/>
        <v/>
      </c>
      <c r="KP100" s="4" t="str">
        <f t="shared" si="86"/>
        <v/>
      </c>
      <c r="KQ100" s="4" t="str">
        <f t="shared" si="87"/>
        <v/>
      </c>
      <c r="KR100" s="4" t="str">
        <f t="shared" si="88"/>
        <v/>
      </c>
      <c r="KS100" s="4" t="str">
        <f t="shared" si="89"/>
        <v/>
      </c>
      <c r="KT100" s="4" t="str">
        <f t="shared" si="90"/>
        <v/>
      </c>
      <c r="KU100" s="4" t="str">
        <f t="shared" si="91"/>
        <v/>
      </c>
      <c r="KV100" s="4" t="str">
        <f t="shared" si="92"/>
        <v/>
      </c>
      <c r="KW100" s="4" t="str">
        <f t="shared" si="93"/>
        <v/>
      </c>
      <c r="KX100" s="4" t="str">
        <f t="shared" si="94"/>
        <v/>
      </c>
      <c r="KY100" s="4" t="str">
        <f t="shared" si="95"/>
        <v/>
      </c>
      <c r="KZ100" s="4" t="str">
        <f t="shared" si="96"/>
        <v/>
      </c>
      <c r="LA100" s="4" t="str">
        <f t="shared" si="97"/>
        <v/>
      </c>
      <c r="LB100" s="4" t="str">
        <f t="shared" si="98"/>
        <v/>
      </c>
      <c r="LC100" s="4" t="str">
        <f t="shared" si="99"/>
        <v/>
      </c>
      <c r="LD100" s="4" t="str">
        <f t="shared" si="100"/>
        <v/>
      </c>
      <c r="LE100" s="4" t="str">
        <f t="shared" si="101"/>
        <v/>
      </c>
      <c r="LF100" s="4" t="str">
        <f t="shared" si="102"/>
        <v/>
      </c>
      <c r="LG100" s="4" t="str">
        <f t="shared" si="103"/>
        <v/>
      </c>
      <c r="LH100" s="4" t="str">
        <f t="shared" si="104"/>
        <v/>
      </c>
      <c r="LI100" s="4" t="str">
        <f t="shared" si="105"/>
        <v/>
      </c>
      <c r="LJ100" s="4" t="str">
        <f t="shared" si="106"/>
        <v/>
      </c>
      <c r="LK100" s="4" t="str">
        <f t="shared" si="107"/>
        <v/>
      </c>
      <c r="LL100" s="4" t="str">
        <f t="shared" si="108"/>
        <v/>
      </c>
      <c r="LM100" s="4" t="str">
        <f t="shared" si="109"/>
        <v/>
      </c>
      <c r="LN100" s="4" t="str">
        <f t="shared" si="110"/>
        <v/>
      </c>
      <c r="LO100" s="4" t="str">
        <f t="shared" si="111"/>
        <v/>
      </c>
      <c r="LP100" s="4" t="str">
        <f t="shared" si="112"/>
        <v/>
      </c>
      <c r="LQ100" s="4" t="str">
        <f t="shared" si="113"/>
        <v/>
      </c>
      <c r="LR100" s="4" t="str">
        <f t="shared" si="114"/>
        <v/>
      </c>
      <c r="LS100" s="4" t="str">
        <f t="shared" si="115"/>
        <v/>
      </c>
      <c r="LT100" s="4" t="str">
        <f t="shared" si="116"/>
        <v/>
      </c>
      <c r="LU100" s="4" t="str">
        <f t="shared" si="117"/>
        <v/>
      </c>
      <c r="LV100" s="4" t="str">
        <f t="shared" si="118"/>
        <v/>
      </c>
      <c r="LW100" s="4" t="str">
        <f t="shared" si="119"/>
        <v/>
      </c>
      <c r="LX100" s="4" t="str">
        <f t="shared" si="120"/>
        <v/>
      </c>
      <c r="LY100" s="4" t="str">
        <f t="shared" si="121"/>
        <v/>
      </c>
      <c r="LZ100" s="4" t="str">
        <f t="shared" si="122"/>
        <v/>
      </c>
      <c r="MA100" s="4" t="str">
        <f t="shared" si="123"/>
        <v/>
      </c>
      <c r="MB100" s="4" t="str">
        <f t="shared" si="124"/>
        <v/>
      </c>
      <c r="MC100" s="4" t="str">
        <f t="shared" si="125"/>
        <v/>
      </c>
      <c r="MD100" s="4" t="str">
        <f t="shared" si="126"/>
        <v/>
      </c>
      <c r="ME100" s="4" t="str">
        <f t="shared" si="127"/>
        <v/>
      </c>
      <c r="MF100" s="4" t="str">
        <f t="shared" si="128"/>
        <v/>
      </c>
      <c r="MG100" s="4" t="str">
        <f t="shared" si="129"/>
        <v/>
      </c>
      <c r="MH100" s="4" t="str">
        <f t="shared" si="130"/>
        <v/>
      </c>
      <c r="MI100" s="4" t="str">
        <f t="shared" si="131"/>
        <v/>
      </c>
      <c r="MJ100" s="4" t="str">
        <f t="shared" si="132"/>
        <v/>
      </c>
      <c r="MK100" s="4" t="str">
        <f t="shared" si="133"/>
        <v/>
      </c>
      <c r="ML100" s="4" t="str">
        <f t="shared" si="134"/>
        <v/>
      </c>
      <c r="MM100" s="4" t="str">
        <f t="shared" si="135"/>
        <v/>
      </c>
      <c r="MN100" s="4" t="str">
        <f t="shared" si="136"/>
        <v/>
      </c>
      <c r="MO100" s="4" t="str">
        <f t="shared" si="137"/>
        <v/>
      </c>
      <c r="MP100" s="4" t="str">
        <f t="shared" si="138"/>
        <v/>
      </c>
      <c r="MQ100" s="4" t="str">
        <f t="shared" si="139"/>
        <v/>
      </c>
      <c r="MR100" s="4" t="str">
        <f t="shared" si="140"/>
        <v/>
      </c>
      <c r="MS100" s="4" t="str">
        <f t="shared" si="141"/>
        <v/>
      </c>
      <c r="MT100" s="4" t="str">
        <f t="shared" si="142"/>
        <v/>
      </c>
      <c r="MU100" s="4" t="str">
        <f t="shared" si="143"/>
        <v/>
      </c>
      <c r="MV100" s="4" t="str">
        <f t="shared" si="144"/>
        <v/>
      </c>
      <c r="MW100" s="4" t="str">
        <f t="shared" si="145"/>
        <v/>
      </c>
      <c r="MX100" s="4" t="str">
        <f t="shared" si="146"/>
        <v/>
      </c>
      <c r="MY100" s="4" t="str">
        <f t="shared" si="147"/>
        <v/>
      </c>
      <c r="MZ100" s="4" t="str">
        <f t="shared" si="148"/>
        <v/>
      </c>
      <c r="NA100" s="4" t="str">
        <f t="shared" si="149"/>
        <v/>
      </c>
      <c r="NB100" s="4" t="str">
        <f t="shared" si="150"/>
        <v/>
      </c>
      <c r="NC100" s="4" t="str">
        <f t="shared" si="151"/>
        <v/>
      </c>
      <c r="ND100" s="4" t="str">
        <f t="shared" si="152"/>
        <v/>
      </c>
      <c r="NE100" s="4" t="str">
        <f t="shared" si="153"/>
        <v/>
      </c>
      <c r="NF100" s="4" t="str">
        <f t="shared" si="154"/>
        <v/>
      </c>
      <c r="NG100" s="4" t="str">
        <f t="shared" si="155"/>
        <v/>
      </c>
      <c r="NH100" s="4" t="str">
        <f t="shared" si="156"/>
        <v/>
      </c>
      <c r="NI100" s="4" t="str">
        <f t="shared" si="157"/>
        <v/>
      </c>
      <c r="NJ100" s="4" t="str">
        <f t="shared" si="158"/>
        <v/>
      </c>
      <c r="NK100" s="4" t="str">
        <f t="shared" si="159"/>
        <v/>
      </c>
      <c r="NL100" s="4" t="str">
        <f t="shared" si="160"/>
        <v/>
      </c>
      <c r="NM100" s="4" t="str">
        <f t="shared" si="161"/>
        <v/>
      </c>
      <c r="NN100" s="4" t="str">
        <f t="shared" si="162"/>
        <v/>
      </c>
      <c r="NO100" s="4" t="str">
        <f t="shared" si="163"/>
        <v/>
      </c>
      <c r="NP100" s="4" t="str">
        <f t="shared" si="164"/>
        <v/>
      </c>
      <c r="NQ100" s="4" t="str">
        <f t="shared" si="165"/>
        <v/>
      </c>
      <c r="NR100" s="4" t="str">
        <f t="shared" si="166"/>
        <v/>
      </c>
      <c r="NS100" s="4" t="str">
        <f t="shared" si="167"/>
        <v/>
      </c>
      <c r="NT100" s="4" t="str">
        <f t="shared" si="168"/>
        <v/>
      </c>
      <c r="NU100" s="4" t="str">
        <f t="shared" si="169"/>
        <v/>
      </c>
      <c r="NV100" s="4" t="str">
        <f t="shared" si="170"/>
        <v/>
      </c>
      <c r="NW100" s="4" t="str">
        <f t="shared" si="171"/>
        <v/>
      </c>
      <c r="NX100" s="4" t="str">
        <f t="shared" si="172"/>
        <v/>
      </c>
      <c r="NY100" s="4" t="str">
        <f t="shared" si="173"/>
        <v/>
      </c>
      <c r="NZ100" s="4" t="str">
        <f t="shared" si="174"/>
        <v/>
      </c>
      <c r="OA100" s="4" t="str">
        <f t="shared" si="175"/>
        <v/>
      </c>
      <c r="OB100" s="4" t="str">
        <f t="shared" si="176"/>
        <v/>
      </c>
      <c r="OC100" s="4" t="str">
        <f t="shared" si="177"/>
        <v/>
      </c>
      <c r="OD100" s="4" t="str">
        <f t="shared" si="178"/>
        <v/>
      </c>
      <c r="OE100" s="4" t="str">
        <f t="shared" si="179"/>
        <v/>
      </c>
      <c r="OF100" s="4" t="str">
        <f t="shared" si="180"/>
        <v/>
      </c>
      <c r="OG100" s="4" t="str">
        <f t="shared" si="181"/>
        <v/>
      </c>
      <c r="OH100" s="4" t="str">
        <f t="shared" si="182"/>
        <v/>
      </c>
      <c r="OI100" s="4" t="str">
        <f t="shared" si="183"/>
        <v/>
      </c>
      <c r="OJ100" s="4" t="str">
        <f t="shared" si="184"/>
        <v/>
      </c>
      <c r="OK100" s="4" t="str">
        <f t="shared" si="185"/>
        <v/>
      </c>
      <c r="OL100" s="4" t="str">
        <f t="shared" si="186"/>
        <v/>
      </c>
      <c r="OM100" s="4" t="str">
        <f t="shared" si="187"/>
        <v/>
      </c>
      <c r="ON100" s="4" t="str">
        <f t="shared" si="188"/>
        <v/>
      </c>
      <c r="OO100" s="4" t="str">
        <f t="shared" si="189"/>
        <v/>
      </c>
      <c r="OP100" s="4" t="str">
        <f t="shared" si="190"/>
        <v/>
      </c>
      <c r="OQ100" s="4" t="str">
        <f t="shared" si="191"/>
        <v/>
      </c>
      <c r="OR100" s="4" t="str">
        <f t="shared" si="192"/>
        <v/>
      </c>
      <c r="OS100" s="4" t="str">
        <f t="shared" si="193"/>
        <v/>
      </c>
      <c r="OT100" s="4" t="str">
        <f t="shared" si="194"/>
        <v/>
      </c>
      <c r="OU100" s="4" t="str">
        <f t="shared" si="195"/>
        <v/>
      </c>
      <c r="OV100" s="4" t="str">
        <f t="shared" si="196"/>
        <v/>
      </c>
      <c r="OW100" s="4" t="str">
        <f t="shared" si="197"/>
        <v/>
      </c>
      <c r="OX100" s="4" t="str">
        <f t="shared" si="198"/>
        <v/>
      </c>
      <c r="OY100" s="4" t="str">
        <f t="shared" si="199"/>
        <v/>
      </c>
      <c r="OZ100" s="4" t="str">
        <f t="shared" si="200"/>
        <v/>
      </c>
      <c r="PA100" s="4" t="str">
        <f t="shared" si="201"/>
        <v/>
      </c>
      <c r="PB100" s="4" t="str">
        <f t="shared" si="202"/>
        <v/>
      </c>
      <c r="PC100" s="4" t="str">
        <f t="shared" si="203"/>
        <v/>
      </c>
      <c r="PD100" s="4" t="str">
        <f t="shared" si="204"/>
        <v/>
      </c>
      <c r="PE100" s="4" t="str">
        <f t="shared" si="205"/>
        <v/>
      </c>
      <c r="PF100" s="4" t="str">
        <f t="shared" si="206"/>
        <v/>
      </c>
      <c r="PG100" s="4" t="str">
        <f t="shared" si="207"/>
        <v/>
      </c>
      <c r="PH100" s="4" t="str">
        <f t="shared" si="208"/>
        <v/>
      </c>
      <c r="PI100" s="4" t="str">
        <f t="shared" si="209"/>
        <v/>
      </c>
      <c r="PJ100" s="4" t="str">
        <f t="shared" si="210"/>
        <v/>
      </c>
      <c r="PK100" s="4" t="str">
        <f t="shared" si="211"/>
        <v/>
      </c>
      <c r="PL100" s="4" t="str">
        <f t="shared" si="212"/>
        <v/>
      </c>
      <c r="PM100" s="4" t="str">
        <f t="shared" si="213"/>
        <v/>
      </c>
      <c r="PN100" s="4" t="str">
        <f t="shared" si="214"/>
        <v/>
      </c>
      <c r="PO100" s="4" t="str">
        <f t="shared" si="215"/>
        <v/>
      </c>
      <c r="PP100" s="4" t="str">
        <f t="shared" si="216"/>
        <v/>
      </c>
      <c r="PQ100" s="4" t="str">
        <f t="shared" si="217"/>
        <v/>
      </c>
      <c r="PR100" s="4" t="str">
        <f t="shared" si="218"/>
        <v/>
      </c>
      <c r="PS100" s="4" t="str">
        <f t="shared" si="219"/>
        <v/>
      </c>
    </row>
    <row r="101">
      <c r="HI101" s="4" t="str">
        <f t="shared" si="2"/>
        <v/>
      </c>
      <c r="HJ101" s="4" t="str">
        <f t="shared" si="3"/>
        <v/>
      </c>
      <c r="HK101" s="4" t="str">
        <f t="shared" si="4"/>
        <v/>
      </c>
      <c r="HL101" s="4" t="str">
        <f t="shared" si="5"/>
        <v/>
      </c>
      <c r="HM101" s="4" t="str">
        <f t="shared" si="6"/>
        <v/>
      </c>
      <c r="HN101" s="4" t="str">
        <f t="shared" si="7"/>
        <v/>
      </c>
      <c r="HO101" s="4" t="str">
        <f t="shared" si="8"/>
        <v/>
      </c>
      <c r="HP101" s="4" t="str">
        <f t="shared" si="9"/>
        <v/>
      </c>
      <c r="HQ101" s="4" t="str">
        <f t="shared" si="10"/>
        <v/>
      </c>
      <c r="HR101" s="4" t="str">
        <f t="shared" si="11"/>
        <v/>
      </c>
      <c r="HS101" s="4" t="str">
        <f t="shared" si="12"/>
        <v/>
      </c>
      <c r="HT101" s="4" t="str">
        <f t="shared" si="13"/>
        <v/>
      </c>
      <c r="HU101" s="4" t="str">
        <f t="shared" si="14"/>
        <v/>
      </c>
      <c r="HV101" s="4" t="str">
        <f t="shared" si="15"/>
        <v/>
      </c>
      <c r="HW101" s="4" t="str">
        <f t="shared" si="16"/>
        <v/>
      </c>
      <c r="HX101" s="4" t="str">
        <f t="shared" si="17"/>
        <v/>
      </c>
      <c r="HY101" s="4" t="str">
        <f t="shared" si="18"/>
        <v/>
      </c>
      <c r="HZ101" s="4" t="str">
        <f t="shared" si="19"/>
        <v/>
      </c>
      <c r="IA101" s="4" t="str">
        <f t="shared" si="20"/>
        <v/>
      </c>
      <c r="IB101" s="4" t="str">
        <f t="shared" si="21"/>
        <v/>
      </c>
      <c r="IC101" s="4" t="str">
        <f t="shared" si="22"/>
        <v/>
      </c>
      <c r="ID101" s="4" t="str">
        <f t="shared" si="23"/>
        <v/>
      </c>
      <c r="IE101" s="4" t="str">
        <f t="shared" si="24"/>
        <v/>
      </c>
      <c r="IF101" s="4" t="str">
        <f t="shared" si="25"/>
        <v/>
      </c>
      <c r="IG101" s="4" t="str">
        <f t="shared" si="26"/>
        <v/>
      </c>
      <c r="IH101" s="4" t="str">
        <f t="shared" si="27"/>
        <v/>
      </c>
      <c r="II101" s="4" t="str">
        <f t="shared" si="28"/>
        <v/>
      </c>
      <c r="IJ101" s="4" t="str">
        <f t="shared" si="29"/>
        <v/>
      </c>
      <c r="IK101" s="4" t="str">
        <f t="shared" si="30"/>
        <v/>
      </c>
      <c r="IL101" s="4" t="str">
        <f t="shared" si="31"/>
        <v/>
      </c>
      <c r="IM101" s="4" t="str">
        <f t="shared" si="32"/>
        <v/>
      </c>
      <c r="IN101" s="4" t="str">
        <f t="shared" si="33"/>
        <v/>
      </c>
      <c r="IO101" s="4" t="str">
        <f t="shared" si="34"/>
        <v/>
      </c>
      <c r="IP101" s="4" t="str">
        <f t="shared" si="35"/>
        <v/>
      </c>
      <c r="IQ101" s="4" t="str">
        <f t="shared" si="36"/>
        <v/>
      </c>
      <c r="IR101" s="4" t="str">
        <f t="shared" si="37"/>
        <v/>
      </c>
      <c r="IS101" s="4" t="str">
        <f t="shared" si="38"/>
        <v/>
      </c>
      <c r="IT101" s="4" t="str">
        <f t="shared" si="39"/>
        <v/>
      </c>
      <c r="IU101" s="4" t="str">
        <f t="shared" si="40"/>
        <v/>
      </c>
      <c r="IV101" s="4" t="str">
        <f t="shared" si="41"/>
        <v/>
      </c>
      <c r="IW101" s="4" t="str">
        <f t="shared" si="42"/>
        <v/>
      </c>
      <c r="IX101" s="4" t="str">
        <f t="shared" si="43"/>
        <v/>
      </c>
      <c r="IY101" s="4" t="str">
        <f t="shared" si="44"/>
        <v/>
      </c>
      <c r="IZ101" s="4" t="str">
        <f t="shared" si="45"/>
        <v/>
      </c>
      <c r="JA101" s="4" t="str">
        <f t="shared" ref="JA101:JB101" si="317">if(ISERROR(SEARCH("Higher Education",BB101)),"","810")</f>
        <v/>
      </c>
      <c r="JB101" s="4" t="str">
        <f t="shared" si="317"/>
        <v/>
      </c>
      <c r="JC101" s="4" t="str">
        <f t="shared" si="47"/>
        <v/>
      </c>
      <c r="JD101" s="4" t="str">
        <f t="shared" si="48"/>
        <v/>
      </c>
      <c r="JE101" s="4" t="str">
        <f t="shared" si="49"/>
        <v/>
      </c>
      <c r="JF101" s="4" t="str">
        <f t="shared" si="50"/>
        <v/>
      </c>
      <c r="JG101" s="4" t="str">
        <f t="shared" si="51"/>
        <v/>
      </c>
      <c r="JH101" s="4" t="str">
        <f t="shared" si="52"/>
        <v/>
      </c>
      <c r="JI101" s="4" t="str">
        <f t="shared" si="53"/>
        <v/>
      </c>
      <c r="JJ101" s="4" t="str">
        <f t="shared" si="54"/>
        <v/>
      </c>
      <c r="JK101" s="4" t="str">
        <f t="shared" si="55"/>
        <v/>
      </c>
      <c r="JL101" s="4" t="str">
        <f t="shared" si="56"/>
        <v/>
      </c>
      <c r="JM101" s="4" t="str">
        <f t="shared" si="57"/>
        <v/>
      </c>
      <c r="JN101" s="4" t="str">
        <f t="shared" si="58"/>
        <v/>
      </c>
      <c r="JO101" s="4" t="str">
        <f t="shared" si="59"/>
        <v/>
      </c>
      <c r="JP101" s="4" t="str">
        <f t="shared" si="60"/>
        <v/>
      </c>
      <c r="JQ101" s="4" t="str">
        <f t="shared" si="61"/>
        <v/>
      </c>
      <c r="JR101" s="4" t="str">
        <f t="shared" si="62"/>
        <v/>
      </c>
      <c r="JS101" s="4" t="str">
        <f t="shared" si="63"/>
        <v/>
      </c>
      <c r="JT101" s="4" t="str">
        <f t="shared" si="64"/>
        <v/>
      </c>
      <c r="JU101" s="4" t="str">
        <f t="shared" si="65"/>
        <v/>
      </c>
      <c r="JV101" s="4" t="str">
        <f t="shared" si="66"/>
        <v/>
      </c>
      <c r="JW101" s="4" t="str">
        <f t="shared" si="67"/>
        <v/>
      </c>
      <c r="JX101" s="4" t="str">
        <f t="shared" si="68"/>
        <v/>
      </c>
      <c r="JY101" s="4" t="str">
        <f t="shared" si="69"/>
        <v/>
      </c>
      <c r="JZ101" s="4" t="str">
        <f t="shared" si="70"/>
        <v/>
      </c>
      <c r="KA101" s="4" t="str">
        <f t="shared" si="71"/>
        <v/>
      </c>
      <c r="KB101" s="4" t="str">
        <f t="shared" si="72"/>
        <v/>
      </c>
      <c r="KC101" s="4" t="str">
        <f t="shared" si="73"/>
        <v/>
      </c>
      <c r="KD101" s="4" t="str">
        <f t="shared" si="74"/>
        <v/>
      </c>
      <c r="KE101" s="4" t="str">
        <f t="shared" si="75"/>
        <v/>
      </c>
      <c r="KF101" s="4" t="str">
        <f t="shared" si="76"/>
        <v/>
      </c>
      <c r="KG101" s="4" t="str">
        <f t="shared" si="77"/>
        <v/>
      </c>
      <c r="KH101" s="4" t="str">
        <f t="shared" si="78"/>
        <v/>
      </c>
      <c r="KI101" s="4" t="str">
        <f t="shared" si="79"/>
        <v/>
      </c>
      <c r="KJ101" s="4" t="str">
        <f t="shared" si="80"/>
        <v/>
      </c>
      <c r="KK101" s="4" t="str">
        <f t="shared" si="81"/>
        <v/>
      </c>
      <c r="KL101" s="4" t="str">
        <f t="shared" si="82"/>
        <v/>
      </c>
      <c r="KM101" s="4" t="str">
        <f t="shared" si="83"/>
        <v/>
      </c>
      <c r="KN101" s="4" t="str">
        <f t="shared" si="84"/>
        <v/>
      </c>
      <c r="KO101" s="4" t="str">
        <f t="shared" si="85"/>
        <v/>
      </c>
      <c r="KP101" s="4" t="str">
        <f t="shared" si="86"/>
        <v/>
      </c>
      <c r="KQ101" s="4" t="str">
        <f t="shared" si="87"/>
        <v/>
      </c>
      <c r="KR101" s="4" t="str">
        <f t="shared" si="88"/>
        <v/>
      </c>
      <c r="KS101" s="4" t="str">
        <f t="shared" si="89"/>
        <v/>
      </c>
      <c r="KT101" s="4" t="str">
        <f t="shared" si="90"/>
        <v/>
      </c>
      <c r="KU101" s="4" t="str">
        <f t="shared" si="91"/>
        <v/>
      </c>
      <c r="KV101" s="4" t="str">
        <f t="shared" si="92"/>
        <v/>
      </c>
      <c r="KW101" s="4" t="str">
        <f t="shared" si="93"/>
        <v/>
      </c>
      <c r="KX101" s="4" t="str">
        <f t="shared" si="94"/>
        <v/>
      </c>
      <c r="KY101" s="4" t="str">
        <f t="shared" si="95"/>
        <v/>
      </c>
      <c r="KZ101" s="4" t="str">
        <f t="shared" si="96"/>
        <v/>
      </c>
      <c r="LA101" s="4" t="str">
        <f t="shared" si="97"/>
        <v/>
      </c>
      <c r="LB101" s="4" t="str">
        <f t="shared" si="98"/>
        <v/>
      </c>
      <c r="LC101" s="4" t="str">
        <f t="shared" si="99"/>
        <v/>
      </c>
      <c r="LD101" s="4" t="str">
        <f t="shared" si="100"/>
        <v/>
      </c>
      <c r="LE101" s="4" t="str">
        <f t="shared" si="101"/>
        <v/>
      </c>
      <c r="LF101" s="4" t="str">
        <f t="shared" si="102"/>
        <v/>
      </c>
      <c r="LG101" s="4" t="str">
        <f t="shared" si="103"/>
        <v/>
      </c>
      <c r="LH101" s="4" t="str">
        <f t="shared" si="104"/>
        <v/>
      </c>
      <c r="LI101" s="4" t="str">
        <f t="shared" si="105"/>
        <v/>
      </c>
      <c r="LJ101" s="4" t="str">
        <f t="shared" si="106"/>
        <v/>
      </c>
      <c r="LK101" s="4" t="str">
        <f t="shared" si="107"/>
        <v/>
      </c>
      <c r="LL101" s="4" t="str">
        <f t="shared" si="108"/>
        <v/>
      </c>
      <c r="LM101" s="4" t="str">
        <f t="shared" si="109"/>
        <v/>
      </c>
      <c r="LN101" s="4" t="str">
        <f t="shared" si="110"/>
        <v/>
      </c>
      <c r="LO101" s="4" t="str">
        <f t="shared" si="111"/>
        <v/>
      </c>
      <c r="LP101" s="4" t="str">
        <f t="shared" si="112"/>
        <v/>
      </c>
      <c r="LQ101" s="4" t="str">
        <f t="shared" si="113"/>
        <v/>
      </c>
      <c r="LR101" s="4" t="str">
        <f t="shared" si="114"/>
        <v/>
      </c>
      <c r="LS101" s="4" t="str">
        <f t="shared" si="115"/>
        <v/>
      </c>
      <c r="LT101" s="4" t="str">
        <f t="shared" si="116"/>
        <v/>
      </c>
      <c r="LU101" s="4" t="str">
        <f t="shared" si="117"/>
        <v/>
      </c>
      <c r="LV101" s="4" t="str">
        <f t="shared" si="118"/>
        <v/>
      </c>
      <c r="LW101" s="4" t="str">
        <f t="shared" si="119"/>
        <v/>
      </c>
      <c r="LX101" s="4" t="str">
        <f t="shared" si="120"/>
        <v/>
      </c>
      <c r="LY101" s="4" t="str">
        <f t="shared" si="121"/>
        <v/>
      </c>
      <c r="LZ101" s="4" t="str">
        <f t="shared" si="122"/>
        <v/>
      </c>
      <c r="MA101" s="4" t="str">
        <f t="shared" si="123"/>
        <v/>
      </c>
      <c r="MB101" s="4" t="str">
        <f t="shared" si="124"/>
        <v/>
      </c>
      <c r="MC101" s="4" t="str">
        <f t="shared" si="125"/>
        <v/>
      </c>
      <c r="MD101" s="4" t="str">
        <f t="shared" si="126"/>
        <v/>
      </c>
      <c r="ME101" s="4" t="str">
        <f t="shared" si="127"/>
        <v/>
      </c>
      <c r="MF101" s="4" t="str">
        <f t="shared" si="128"/>
        <v/>
      </c>
      <c r="MG101" s="4" t="str">
        <f t="shared" si="129"/>
        <v/>
      </c>
      <c r="MH101" s="4" t="str">
        <f t="shared" si="130"/>
        <v/>
      </c>
      <c r="MI101" s="4" t="str">
        <f t="shared" si="131"/>
        <v/>
      </c>
      <c r="MJ101" s="4" t="str">
        <f t="shared" si="132"/>
        <v/>
      </c>
      <c r="MK101" s="4" t="str">
        <f t="shared" si="133"/>
        <v/>
      </c>
      <c r="ML101" s="4" t="str">
        <f t="shared" si="134"/>
        <v/>
      </c>
      <c r="MM101" s="4" t="str">
        <f t="shared" si="135"/>
        <v/>
      </c>
      <c r="MN101" s="4" t="str">
        <f t="shared" si="136"/>
        <v/>
      </c>
      <c r="MO101" s="4" t="str">
        <f t="shared" si="137"/>
        <v/>
      </c>
      <c r="MP101" s="4" t="str">
        <f t="shared" si="138"/>
        <v/>
      </c>
      <c r="MQ101" s="4" t="str">
        <f t="shared" si="139"/>
        <v/>
      </c>
      <c r="MR101" s="4" t="str">
        <f t="shared" si="140"/>
        <v/>
      </c>
      <c r="MS101" s="4" t="str">
        <f t="shared" si="141"/>
        <v/>
      </c>
      <c r="MT101" s="4" t="str">
        <f t="shared" si="142"/>
        <v/>
      </c>
      <c r="MU101" s="4" t="str">
        <f t="shared" si="143"/>
        <v/>
      </c>
      <c r="MV101" s="4" t="str">
        <f t="shared" si="144"/>
        <v/>
      </c>
      <c r="MW101" s="4" t="str">
        <f t="shared" si="145"/>
        <v/>
      </c>
      <c r="MX101" s="4" t="str">
        <f t="shared" si="146"/>
        <v/>
      </c>
      <c r="MY101" s="4" t="str">
        <f t="shared" si="147"/>
        <v/>
      </c>
      <c r="MZ101" s="4" t="str">
        <f t="shared" si="148"/>
        <v/>
      </c>
      <c r="NA101" s="4" t="str">
        <f t="shared" si="149"/>
        <v/>
      </c>
      <c r="NB101" s="4" t="str">
        <f t="shared" si="150"/>
        <v/>
      </c>
      <c r="NC101" s="4" t="str">
        <f t="shared" si="151"/>
        <v/>
      </c>
      <c r="ND101" s="4" t="str">
        <f t="shared" si="152"/>
        <v/>
      </c>
      <c r="NE101" s="4" t="str">
        <f t="shared" si="153"/>
        <v/>
      </c>
      <c r="NF101" s="4" t="str">
        <f t="shared" si="154"/>
        <v/>
      </c>
      <c r="NG101" s="4" t="str">
        <f t="shared" si="155"/>
        <v/>
      </c>
      <c r="NH101" s="4" t="str">
        <f t="shared" si="156"/>
        <v/>
      </c>
      <c r="NI101" s="4" t="str">
        <f t="shared" si="157"/>
        <v/>
      </c>
      <c r="NJ101" s="4" t="str">
        <f t="shared" si="158"/>
        <v/>
      </c>
      <c r="NK101" s="4" t="str">
        <f t="shared" si="159"/>
        <v/>
      </c>
      <c r="NL101" s="4" t="str">
        <f t="shared" si="160"/>
        <v/>
      </c>
      <c r="NM101" s="4" t="str">
        <f t="shared" si="161"/>
        <v/>
      </c>
      <c r="NN101" s="4" t="str">
        <f t="shared" si="162"/>
        <v/>
      </c>
      <c r="NO101" s="4" t="str">
        <f t="shared" si="163"/>
        <v/>
      </c>
      <c r="NP101" s="4" t="str">
        <f t="shared" si="164"/>
        <v/>
      </c>
      <c r="NQ101" s="4" t="str">
        <f t="shared" si="165"/>
        <v/>
      </c>
      <c r="NR101" s="4" t="str">
        <f t="shared" si="166"/>
        <v/>
      </c>
      <c r="NS101" s="4" t="str">
        <f t="shared" si="167"/>
        <v/>
      </c>
      <c r="NT101" s="4" t="str">
        <f t="shared" si="168"/>
        <v/>
      </c>
      <c r="NU101" s="4" t="str">
        <f t="shared" si="169"/>
        <v/>
      </c>
      <c r="NV101" s="4" t="str">
        <f t="shared" si="170"/>
        <v/>
      </c>
      <c r="NW101" s="4" t="str">
        <f t="shared" si="171"/>
        <v/>
      </c>
      <c r="NX101" s="4" t="str">
        <f t="shared" si="172"/>
        <v/>
      </c>
      <c r="NY101" s="4" t="str">
        <f t="shared" si="173"/>
        <v/>
      </c>
      <c r="NZ101" s="4" t="str">
        <f t="shared" si="174"/>
        <v/>
      </c>
      <c r="OA101" s="4" t="str">
        <f t="shared" si="175"/>
        <v/>
      </c>
      <c r="OB101" s="4" t="str">
        <f t="shared" si="176"/>
        <v/>
      </c>
      <c r="OC101" s="4" t="str">
        <f t="shared" si="177"/>
        <v/>
      </c>
      <c r="OD101" s="4" t="str">
        <f t="shared" si="178"/>
        <v/>
      </c>
      <c r="OE101" s="4" t="str">
        <f t="shared" si="179"/>
        <v/>
      </c>
      <c r="OF101" s="4" t="str">
        <f t="shared" si="180"/>
        <v/>
      </c>
      <c r="OG101" s="4" t="str">
        <f t="shared" si="181"/>
        <v/>
      </c>
      <c r="OH101" s="4" t="str">
        <f t="shared" si="182"/>
        <v/>
      </c>
      <c r="OI101" s="4" t="str">
        <f t="shared" si="183"/>
        <v/>
      </c>
      <c r="OJ101" s="4" t="str">
        <f t="shared" si="184"/>
        <v/>
      </c>
      <c r="OK101" s="4" t="str">
        <f t="shared" si="185"/>
        <v/>
      </c>
      <c r="OL101" s="4" t="str">
        <f t="shared" si="186"/>
        <v/>
      </c>
      <c r="OM101" s="4" t="str">
        <f t="shared" si="187"/>
        <v/>
      </c>
      <c r="ON101" s="4" t="str">
        <f t="shared" si="188"/>
        <v/>
      </c>
      <c r="OO101" s="4" t="str">
        <f t="shared" si="189"/>
        <v/>
      </c>
      <c r="OP101" s="4" t="str">
        <f t="shared" si="190"/>
        <v/>
      </c>
      <c r="OQ101" s="4" t="str">
        <f t="shared" si="191"/>
        <v/>
      </c>
      <c r="OR101" s="4" t="str">
        <f t="shared" si="192"/>
        <v/>
      </c>
      <c r="OS101" s="4" t="str">
        <f t="shared" si="193"/>
        <v/>
      </c>
      <c r="OT101" s="4" t="str">
        <f t="shared" si="194"/>
        <v/>
      </c>
      <c r="OU101" s="4" t="str">
        <f t="shared" si="195"/>
        <v/>
      </c>
      <c r="OV101" s="4" t="str">
        <f t="shared" si="196"/>
        <v/>
      </c>
      <c r="OW101" s="4" t="str">
        <f t="shared" si="197"/>
        <v/>
      </c>
      <c r="OX101" s="4" t="str">
        <f t="shared" si="198"/>
        <v/>
      </c>
      <c r="OY101" s="4" t="str">
        <f t="shared" si="199"/>
        <v/>
      </c>
      <c r="OZ101" s="4" t="str">
        <f t="shared" si="200"/>
        <v/>
      </c>
      <c r="PA101" s="4" t="str">
        <f t="shared" si="201"/>
        <v/>
      </c>
      <c r="PB101" s="4" t="str">
        <f t="shared" si="202"/>
        <v/>
      </c>
      <c r="PC101" s="4" t="str">
        <f t="shared" si="203"/>
        <v/>
      </c>
      <c r="PD101" s="4" t="str">
        <f t="shared" si="204"/>
        <v/>
      </c>
      <c r="PE101" s="4" t="str">
        <f t="shared" si="205"/>
        <v/>
      </c>
      <c r="PF101" s="4" t="str">
        <f t="shared" si="206"/>
        <v/>
      </c>
      <c r="PG101" s="4" t="str">
        <f t="shared" si="207"/>
        <v/>
      </c>
      <c r="PH101" s="4" t="str">
        <f t="shared" si="208"/>
        <v/>
      </c>
      <c r="PI101" s="4" t="str">
        <f t="shared" si="209"/>
        <v/>
      </c>
      <c r="PJ101" s="4" t="str">
        <f t="shared" si="210"/>
        <v/>
      </c>
      <c r="PK101" s="4" t="str">
        <f t="shared" si="211"/>
        <v/>
      </c>
      <c r="PL101" s="4" t="str">
        <f t="shared" si="212"/>
        <v/>
      </c>
      <c r="PM101" s="4" t="str">
        <f t="shared" si="213"/>
        <v/>
      </c>
      <c r="PN101" s="4" t="str">
        <f t="shared" si="214"/>
        <v/>
      </c>
      <c r="PO101" s="4" t="str">
        <f t="shared" si="215"/>
        <v/>
      </c>
      <c r="PP101" s="4" t="str">
        <f t="shared" si="216"/>
        <v/>
      </c>
      <c r="PQ101" s="4" t="str">
        <f t="shared" si="217"/>
        <v/>
      </c>
      <c r="PR101" s="4" t="str">
        <f t="shared" si="218"/>
        <v/>
      </c>
      <c r="PS101" s="4" t="str">
        <f t="shared" si="219"/>
        <v/>
      </c>
    </row>
  </sheetData>
  <drawing r:id="rId1"/>
</worksheet>
</file>